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as\OneDrive\Desktop\Old Desktop\Hult_Teaching_2023_2024\Business_Insights_Data\"/>
    </mc:Choice>
  </mc:AlternateContent>
  <xr:revisionPtr revIDLastSave="0" documentId="13_ncr:1_{B2187935-0829-4B78-A8E0-039F1468C8D0}" xr6:coauthVersionLast="47" xr6:coauthVersionMax="47" xr10:uidLastSave="{00000000-0000-0000-0000-000000000000}"/>
  <bookViews>
    <workbookView xWindow="-108" yWindow="-108" windowWidth="23256" windowHeight="14856" activeTab="1" xr2:uid="{2258076F-9E63-4A14-B595-3E9101813BFD}"/>
  </bookViews>
  <sheets>
    <sheet name="MRData" sheetId="6" r:id="rId1"/>
    <sheet name="COMPUTE" sheetId="5" r:id="rId2"/>
    <sheet name="Sheet5" sheetId="7" r:id="rId3"/>
    <sheet name="DATA" sheetId="1" r:id="rId4"/>
    <sheet name="Questio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L2" i="5" a="1"/>
  <c r="L2" i="5" s="1"/>
  <c r="B20" i="5" s="1"/>
  <c r="A20" i="5"/>
  <c r="A19" i="5"/>
  <c r="A18" i="5"/>
  <c r="G16" i="5"/>
  <c r="I16" i="5" s="1"/>
  <c r="F16" i="5"/>
  <c r="H16" i="5" s="1"/>
  <c r="M4" i="5" l="1"/>
  <c r="B7" i="5" s="1"/>
  <c r="L4" i="5"/>
  <c r="B5" i="5" s="1"/>
  <c r="O6" i="5"/>
  <c r="N3" i="5"/>
  <c r="C18" i="5" s="1"/>
  <c r="M6" i="5"/>
  <c r="C13" i="5" s="1"/>
  <c r="L6" i="5"/>
  <c r="C12" i="5" s="1"/>
  <c r="C14" i="5" s="1"/>
  <c r="B4" i="5" s="1"/>
  <c r="L3" i="5"/>
  <c r="C20" i="5" s="1"/>
  <c r="D20" i="5" s="1"/>
  <c r="E20" i="5" s="1"/>
  <c r="N4" i="5"/>
  <c r="O5" i="5"/>
  <c r="O2" i="5"/>
  <c r="B17" i="5" s="1"/>
  <c r="O3" i="5"/>
  <c r="C17" i="5" s="1"/>
  <c r="N6" i="5"/>
  <c r="N5" i="5"/>
  <c r="M5" i="5"/>
  <c r="B13" i="5" s="1"/>
  <c r="L9" i="5" s="1"/>
  <c r="L10" i="5" s="1"/>
  <c r="G17" i="5" s="1"/>
  <c r="I17" i="5" s="1"/>
  <c r="M2" i="5"/>
  <c r="B19" i="5" s="1"/>
  <c r="O4" i="5"/>
  <c r="M3" i="5"/>
  <c r="C19" i="5" s="1"/>
  <c r="N2" i="5"/>
  <c r="B18" i="5" s="1"/>
  <c r="L5" i="5"/>
  <c r="E12" i="5" s="1"/>
  <c r="B14" i="5"/>
  <c r="D17" i="5" l="1"/>
  <c r="E17" i="5" s="1"/>
  <c r="D13" i="5"/>
  <c r="D18" i="5"/>
  <c r="E18" i="5" s="1"/>
  <c r="L11" i="5"/>
  <c r="F18" i="5" s="1"/>
  <c r="H18" i="5" s="1"/>
  <c r="D19" i="5"/>
  <c r="E19" i="5" s="1"/>
  <c r="L13" i="5"/>
  <c r="L12" i="5"/>
  <c r="F19" i="5" s="1"/>
  <c r="H19" i="5" s="1"/>
  <c r="B6" i="5"/>
  <c r="C6" i="5" s="1"/>
  <c r="B12" i="5"/>
  <c r="D12" i="5" s="1"/>
  <c r="F17" i="5"/>
  <c r="H17" i="5" s="1"/>
  <c r="G19" i="5" l="1"/>
  <c r="I19" i="5" s="1"/>
  <c r="F20" i="5"/>
  <c r="H20" i="5" s="1"/>
  <c r="G20" i="5"/>
  <c r="I20" i="5" s="1"/>
  <c r="G18" i="5"/>
  <c r="I18" i="5" s="1"/>
  <c r="F12" i="5"/>
</calcChain>
</file>

<file path=xl/sharedStrings.xml><?xml version="1.0" encoding="utf-8"?>
<sst xmlns="http://schemas.openxmlformats.org/spreadsheetml/2006/main" count="171" uniqueCount="69">
  <si>
    <t>Location</t>
  </si>
  <si>
    <t>Center City</t>
  </si>
  <si>
    <t>Metro Area</t>
  </si>
  <si>
    <t>a.  State the multiple regression equation.</t>
  </si>
  <si>
    <t>b. Interpret the regression coefficients in a.</t>
  </si>
  <si>
    <t>c. Is there a significant relationship between price and three independent variables (food, décor, and service) at 0.05 level of significance?</t>
  </si>
  <si>
    <t xml:space="preserve">d. At 0.05 level of significance, determine whether each independent variable makes a contribution to the regression model. </t>
  </si>
  <si>
    <r>
      <t>e. Compute and interpret the meaning of adjusted R</t>
    </r>
    <r>
      <rPr>
        <vertAlign val="superscript"/>
        <sz val="11"/>
        <color theme="1"/>
        <rFont val="Aptos Narrow"/>
        <family val="2"/>
        <scheme val="minor"/>
      </rPr>
      <t>2</t>
    </r>
  </si>
  <si>
    <t>Cost (Y)</t>
  </si>
  <si>
    <t>Food (X1)</t>
  </si>
  <si>
    <t>Décor (X2)</t>
  </si>
  <si>
    <t>Service (X3)</t>
  </si>
  <si>
    <t>Calculations</t>
  </si>
  <si>
    <t>Regression Statistics</t>
  </si>
  <si>
    <t>Multiple R</t>
  </si>
  <si>
    <t>R Square, Standard Error</t>
  </si>
  <si>
    <t>R Square</t>
  </si>
  <si>
    <r>
      <t>F</t>
    </r>
    <r>
      <rPr>
        <sz val="11"/>
        <rFont val="Calibri"/>
        <family val="2"/>
      </rPr>
      <t xml:space="preserve">, Residual </t>
    </r>
    <r>
      <rPr>
        <i/>
        <sz val="11"/>
        <rFont val="Calibri"/>
        <family val="2"/>
      </rPr>
      <t>df</t>
    </r>
  </si>
  <si>
    <t>Adjusted R Square</t>
  </si>
  <si>
    <r>
      <t xml:space="preserve">Regression </t>
    </r>
    <r>
      <rPr>
        <i/>
        <sz val="11"/>
        <rFont val="Calibri"/>
        <family val="2"/>
      </rPr>
      <t>SS</t>
    </r>
    <r>
      <rPr>
        <sz val="11"/>
        <rFont val="Calibri"/>
        <family val="2"/>
      </rPr>
      <t xml:space="preserve">, Residual </t>
    </r>
    <r>
      <rPr>
        <i/>
        <sz val="11"/>
        <rFont val="Calibri"/>
        <family val="2"/>
      </rPr>
      <t>SS</t>
    </r>
  </si>
  <si>
    <t>Standard Error</t>
  </si>
  <si>
    <t>Observations</t>
  </si>
  <si>
    <t>Confidence level</t>
  </si>
  <si>
    <r>
      <t>t</t>
    </r>
    <r>
      <rPr>
        <sz val="11"/>
        <rFont val="Calibri"/>
        <family val="2"/>
      </rPr>
      <t xml:space="preserve"> Critical Value</t>
    </r>
  </si>
  <si>
    <t>ANOVA</t>
  </si>
  <si>
    <r>
      <t xml:space="preserve">Half Width </t>
    </r>
    <r>
      <rPr>
        <i/>
        <sz val="11"/>
        <rFont val="Calibri"/>
        <family val="2"/>
      </rPr>
      <t>b0</t>
    </r>
  </si>
  <si>
    <t>df</t>
  </si>
  <si>
    <t>SS</t>
  </si>
  <si>
    <t>MS</t>
  </si>
  <si>
    <t>F</t>
  </si>
  <si>
    <t>Significance F</t>
  </si>
  <si>
    <r>
      <t xml:space="preserve">Half Width </t>
    </r>
    <r>
      <rPr>
        <i/>
        <sz val="11"/>
        <rFont val="Calibri"/>
        <family val="2"/>
      </rPr>
      <t>b1</t>
    </r>
  </si>
  <si>
    <t>Regression</t>
  </si>
  <si>
    <r>
      <t xml:space="preserve">Half Width </t>
    </r>
    <r>
      <rPr>
        <i/>
        <sz val="11"/>
        <rFont val="Calibri"/>
        <family val="2"/>
      </rPr>
      <t>b2</t>
    </r>
  </si>
  <si>
    <t>Residual</t>
  </si>
  <si>
    <t>Total</t>
  </si>
  <si>
    <t>Coefficients</t>
  </si>
  <si>
    <t>t Stat</t>
  </si>
  <si>
    <t>P-value</t>
  </si>
  <si>
    <t>Intercept</t>
  </si>
  <si>
    <t>Regression Analysis</t>
  </si>
  <si>
    <r>
      <t xml:space="preserve">Half Width </t>
    </r>
    <r>
      <rPr>
        <i/>
        <sz val="11"/>
        <rFont val="Calibri"/>
        <family val="2"/>
      </rPr>
      <t>b3</t>
    </r>
    <r>
      <rPr>
        <sz val="11"/>
        <color theme="1"/>
        <rFont val="Aptos Narrow"/>
        <family val="2"/>
        <scheme val="minor"/>
      </rPr>
      <t/>
    </r>
  </si>
  <si>
    <t>b3 through b0 intercepts</t>
  </si>
  <si>
    <t>b3 through b0 Standard Error</t>
  </si>
  <si>
    <t>er</t>
  </si>
  <si>
    <t xml:space="preserve">b1=0.3299. The mean cost per person increases by 0.3299 units  for every 1 unit increase in food rating, keeping décor and service rating constant. </t>
  </si>
  <si>
    <t>b2=1.2949. The  mean cost per person increases by 1.2949 for every 1 unit in increase in décor rating, keeping food and service rating constant.</t>
  </si>
  <si>
    <t>b3=2.8827. The mean cost per person increases by 2.8827 for every 1 unit increase in service rating, keeping food and décor rating constant.</t>
  </si>
  <si>
    <t>c. H0: There is no linear relationship between the dependent variable (Y) and independent variables (X1, X2, &amp; X3)</t>
  </si>
  <si>
    <t>H1: There  is a linear relationship between the dependent variable (Y) and at least one independent variable.</t>
  </si>
  <si>
    <t xml:space="preserve">Since p-value (significance F) 0.0000 &lt;0.05, Reject H0. </t>
  </si>
  <si>
    <t>There is enough evidence to conclude that there is a linear relationship with cost per person (Y) and at least one independent variable (X1, X2, X3)</t>
  </si>
  <si>
    <t>d. H0: There is no linear relationship between cost per person (Y) and food rating (X1).</t>
  </si>
  <si>
    <t>H1: There is a linear relationship between cost per person (Y) and food rating (X1)</t>
  </si>
  <si>
    <t>H0: There is no linear relationship between cost per person (Y) and Décor rating (X2).</t>
  </si>
  <si>
    <t>H1: There is linear relationship between cost per person (Y) and Décor rating (X2).</t>
  </si>
  <si>
    <t>since p-value (0.0083)&lt;0.05, reject H0, There is enough evidence to conclude that there is linear relationship between cost per person (Y) and décor rating (X2)</t>
  </si>
  <si>
    <t>since p-value (0.6872) &gt;0.05, do not reject H0. There is not enough evidence to conclude that there is a  linear relationship between cost per person (Y) and food rating (X1)</t>
  </si>
  <si>
    <t>H0: There is no linear relationshio between cost per person (Y) and Service rating (X3).</t>
  </si>
  <si>
    <t>H1: There is linear relationship between cost per person (Y) and Service rating (X3)</t>
  </si>
  <si>
    <t>since p-value (0.0003) &lt;0.05, reject H0. There is enough evidence to conclude that there is linear relationship between cost per person (Y) and service rating (X3)</t>
  </si>
  <si>
    <t>Therefore, décor rating and service rating makes a contribution to the regression model. They both have high regression coefficients (1.2949 and 2.8827)</t>
  </si>
  <si>
    <t>So, restaurants should work on improving the service and décor quality. Recommended strategies-personalized dishes cooked by chef, chef coming and greeting the guests.</t>
  </si>
  <si>
    <t>e. Adjusted R^2=37%. Therefore, 37% of the variation in cost per person is explained by the variation in food rating, décor rating, and service rating</t>
  </si>
  <si>
    <t xml:space="preserve">independent of sample size and number of independent variables. </t>
  </si>
  <si>
    <r>
      <t xml:space="preserve">a. </t>
    </r>
    <r>
      <rPr>
        <b/>
        <sz val="11"/>
        <rFont val="Calibri"/>
        <family val="2"/>
      </rPr>
      <t>The regression equation is Y hat= -43.7562+0.3299X1 +1.2949X2 +2.8832X3, X1=Food, X2=Décor, X3=Service</t>
    </r>
  </si>
  <si>
    <r>
      <t>b.</t>
    </r>
    <r>
      <rPr>
        <b/>
        <sz val="11"/>
        <rFont val="Calibri"/>
        <family val="2"/>
      </rPr>
      <t xml:space="preserve"> The y-intercept b0=-43.7562 estimates the cost per person if food, décor, service ratings are 0.  This value has no practical interpretation</t>
    </r>
  </si>
  <si>
    <t xml:space="preserve">Décor quality can be enhanced by having a theme based ambience. Add entertainment. </t>
  </si>
  <si>
    <t>Q. Zagat publishes restaurant ratings for various locations in the US.  The data contains Zagat rating for food, décor, and cost per person  for a sample of 50 center city restaurants and 50 metro area restaurants in NY. Develop a regression model to predict the cost per person, based on food, décor, and service ratings in restaurants. (Data extracted from https://www.chase.com/personal/zagat)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</si>
</sst>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5" fillId="0" borderId="0" xfId="2" applyFont="1"/>
    <xf numFmtId="0" fontId="6" fillId="0" borderId="0" xfId="2" applyFont="1"/>
    <xf numFmtId="164" fontId="6" fillId="0" borderId="0" xfId="2" applyNumberFormat="1" applyFont="1"/>
    <xf numFmtId="0" fontId="8" fillId="0" borderId="2" xfId="2" applyFont="1" applyBorder="1" applyAlignment="1">
      <alignment horizontal="centerContinuous"/>
    </xf>
    <xf numFmtId="0" fontId="7" fillId="0" borderId="2" xfId="2" applyFont="1" applyBorder="1" applyAlignment="1">
      <alignment horizontal="centerContinuous"/>
    </xf>
    <xf numFmtId="0" fontId="7" fillId="0" borderId="0" xfId="2" applyFont="1"/>
    <xf numFmtId="0" fontId="6" fillId="0" borderId="3" xfId="2" applyFont="1" applyBorder="1"/>
    <xf numFmtId="9" fontId="6" fillId="0" borderId="0" xfId="3" applyFont="1" applyFill="1"/>
    <xf numFmtId="0" fontId="7" fillId="0" borderId="2" xfId="2" applyFont="1" applyBorder="1" applyAlignment="1">
      <alignment horizontal="center"/>
    </xf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  <xf numFmtId="0" fontId="6" fillId="0" borderId="7" xfId="2" applyFont="1" applyBorder="1"/>
    <xf numFmtId="0" fontId="6" fillId="0" borderId="8" xfId="2" applyFont="1" applyBorder="1"/>
    <xf numFmtId="0" fontId="6" fillId="0" borderId="9" xfId="2" applyFont="1" applyBorder="1"/>
    <xf numFmtId="0" fontId="6" fillId="0" borderId="10" xfId="2" applyFont="1" applyBorder="1"/>
    <xf numFmtId="164" fontId="6" fillId="2" borderId="0" xfId="2" applyNumberFormat="1" applyFont="1" applyFill="1"/>
    <xf numFmtId="9" fontId="6" fillId="0" borderId="0" xfId="1" applyFont="1"/>
    <xf numFmtId="164" fontId="6" fillId="2" borderId="3" xfId="2" applyNumberFormat="1" applyFont="1" applyFill="1" applyBorder="1"/>
    <xf numFmtId="0" fontId="0" fillId="0" borderId="0" xfId="0" applyAlignment="1">
      <alignment wrapText="1"/>
    </xf>
    <xf numFmtId="0" fontId="7" fillId="0" borderId="1" xfId="2" applyFont="1" applyBorder="1" applyAlignment="1">
      <alignment horizontal="center"/>
    </xf>
    <xf numFmtId="0" fontId="7" fillId="0" borderId="0" xfId="2" applyFont="1" applyAlignment="1">
      <alignment horizontal="center"/>
    </xf>
  </cellXfs>
  <cellStyles count="4">
    <cellStyle name="Normal" xfId="0" builtinId="0"/>
    <cellStyle name="Normal 2" xfId="2" xr:uid="{CA09AEC6-9A35-4212-A6FA-E4DFB8512D2A}"/>
    <cellStyle name="Percent" xfId="1" builtinId="5"/>
    <cellStyle name="Percent 2" xfId="3" xr:uid="{8AC46CC2-405C-403C-A8B2-87EFDC14D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B46C-392A-4FF4-89F5-0F02AF3A5293}">
  <dimension ref="A1:D101"/>
  <sheetViews>
    <sheetView workbookViewId="0"/>
  </sheetViews>
  <sheetFormatPr defaultRowHeight="14.4" x14ac:dyDescent="0.3"/>
  <sheetData>
    <row r="1" spans="1:4" x14ac:dyDescent="0.3">
      <c r="A1" t="s">
        <v>44</v>
      </c>
      <c r="B1" t="s">
        <v>9</v>
      </c>
      <c r="C1" t="s">
        <v>10</v>
      </c>
      <c r="D1" t="s">
        <v>11</v>
      </c>
    </row>
    <row r="2" spans="1:4" x14ac:dyDescent="0.3">
      <c r="A2">
        <v>81</v>
      </c>
      <c r="B2">
        <v>23</v>
      </c>
      <c r="C2">
        <v>20</v>
      </c>
      <c r="D2">
        <v>23</v>
      </c>
    </row>
    <row r="3" spans="1:4" x14ac:dyDescent="0.3">
      <c r="A3">
        <v>28</v>
      </c>
      <c r="B3">
        <v>20</v>
      </c>
      <c r="C3">
        <v>14</v>
      </c>
      <c r="D3">
        <v>19</v>
      </c>
    </row>
    <row r="4" spans="1:4" x14ac:dyDescent="0.3">
      <c r="A4">
        <v>24</v>
      </c>
      <c r="B4">
        <v>22</v>
      </c>
      <c r="C4">
        <v>14</v>
      </c>
      <c r="D4">
        <v>16</v>
      </c>
    </row>
    <row r="5" spans="1:4" x14ac:dyDescent="0.3">
      <c r="A5">
        <v>38</v>
      </c>
      <c r="B5">
        <v>21</v>
      </c>
      <c r="C5">
        <v>21</v>
      </c>
      <c r="D5">
        <v>19</v>
      </c>
    </row>
    <row r="6" spans="1:4" x14ac:dyDescent="0.3">
      <c r="A6">
        <v>45</v>
      </c>
      <c r="B6">
        <v>22</v>
      </c>
      <c r="C6">
        <v>19</v>
      </c>
      <c r="D6">
        <v>21</v>
      </c>
    </row>
    <row r="7" spans="1:4" x14ac:dyDescent="0.3">
      <c r="A7">
        <v>49</v>
      </c>
      <c r="B7">
        <v>24</v>
      </c>
      <c r="C7">
        <v>20</v>
      </c>
      <c r="D7">
        <v>20</v>
      </c>
    </row>
    <row r="8" spans="1:4" x14ac:dyDescent="0.3">
      <c r="A8">
        <v>36</v>
      </c>
      <c r="B8">
        <v>24</v>
      </c>
      <c r="C8">
        <v>20</v>
      </c>
      <c r="D8">
        <v>23</v>
      </c>
    </row>
    <row r="9" spans="1:4" x14ac:dyDescent="0.3">
      <c r="A9">
        <v>60</v>
      </c>
      <c r="B9">
        <v>24</v>
      </c>
      <c r="C9">
        <v>19</v>
      </c>
      <c r="D9">
        <v>22</v>
      </c>
    </row>
    <row r="10" spans="1:4" x14ac:dyDescent="0.3">
      <c r="A10">
        <v>50</v>
      </c>
      <c r="B10">
        <v>23</v>
      </c>
      <c r="C10">
        <v>17</v>
      </c>
      <c r="D10">
        <v>20</v>
      </c>
    </row>
    <row r="11" spans="1:4" x14ac:dyDescent="0.3">
      <c r="A11">
        <v>41</v>
      </c>
      <c r="B11">
        <v>21</v>
      </c>
      <c r="C11">
        <v>23</v>
      </c>
      <c r="D11">
        <v>18</v>
      </c>
    </row>
    <row r="12" spans="1:4" x14ac:dyDescent="0.3">
      <c r="A12">
        <v>84</v>
      </c>
      <c r="B12">
        <v>25</v>
      </c>
      <c r="C12">
        <v>22</v>
      </c>
      <c r="D12">
        <v>24</v>
      </c>
    </row>
    <row r="13" spans="1:4" x14ac:dyDescent="0.3">
      <c r="A13">
        <v>64</v>
      </c>
      <c r="B13">
        <v>22</v>
      </c>
      <c r="C13">
        <v>23</v>
      </c>
      <c r="D13">
        <v>21</v>
      </c>
    </row>
    <row r="14" spans="1:4" x14ac:dyDescent="0.3">
      <c r="A14">
        <v>78</v>
      </c>
      <c r="B14">
        <v>25</v>
      </c>
      <c r="C14">
        <v>23</v>
      </c>
      <c r="D14">
        <v>24</v>
      </c>
    </row>
    <row r="15" spans="1:4" x14ac:dyDescent="0.3">
      <c r="A15">
        <v>57</v>
      </c>
      <c r="B15">
        <v>20</v>
      </c>
      <c r="C15">
        <v>18</v>
      </c>
      <c r="D15">
        <v>19</v>
      </c>
    </row>
    <row r="16" spans="1:4" x14ac:dyDescent="0.3">
      <c r="A16">
        <v>80</v>
      </c>
      <c r="B16">
        <v>22</v>
      </c>
      <c r="C16">
        <v>23</v>
      </c>
      <c r="D16">
        <v>22</v>
      </c>
    </row>
    <row r="17" spans="1:4" x14ac:dyDescent="0.3">
      <c r="A17">
        <v>69</v>
      </c>
      <c r="B17">
        <v>23</v>
      </c>
      <c r="C17">
        <v>20</v>
      </c>
      <c r="D17">
        <v>21</v>
      </c>
    </row>
    <row r="18" spans="1:4" x14ac:dyDescent="0.3">
      <c r="A18">
        <v>89</v>
      </c>
      <c r="B18">
        <v>25</v>
      </c>
      <c r="C18">
        <v>25</v>
      </c>
      <c r="D18">
        <v>25</v>
      </c>
    </row>
    <row r="19" spans="1:4" x14ac:dyDescent="0.3">
      <c r="A19">
        <v>42</v>
      </c>
      <c r="B19">
        <v>24</v>
      </c>
      <c r="C19">
        <v>19</v>
      </c>
      <c r="D19">
        <v>21</v>
      </c>
    </row>
    <row r="20" spans="1:4" x14ac:dyDescent="0.3">
      <c r="A20">
        <v>55</v>
      </c>
      <c r="B20">
        <v>24</v>
      </c>
      <c r="C20">
        <v>18</v>
      </c>
      <c r="D20">
        <v>22</v>
      </c>
    </row>
    <row r="21" spans="1:4" x14ac:dyDescent="0.3">
      <c r="A21">
        <v>32</v>
      </c>
      <c r="B21">
        <v>23</v>
      </c>
      <c r="C21">
        <v>15</v>
      </c>
      <c r="D21">
        <v>17</v>
      </c>
    </row>
    <row r="22" spans="1:4" x14ac:dyDescent="0.3">
      <c r="A22">
        <v>45</v>
      </c>
      <c r="B22">
        <v>19</v>
      </c>
      <c r="C22">
        <v>19</v>
      </c>
      <c r="D22">
        <v>19</v>
      </c>
    </row>
    <row r="23" spans="1:4" x14ac:dyDescent="0.3">
      <c r="A23">
        <v>71</v>
      </c>
      <c r="B23">
        <v>26</v>
      </c>
      <c r="C23">
        <v>23</v>
      </c>
      <c r="D23">
        <v>24</v>
      </c>
    </row>
    <row r="24" spans="1:4" x14ac:dyDescent="0.3">
      <c r="A24">
        <v>50</v>
      </c>
      <c r="B24">
        <v>22</v>
      </c>
      <c r="C24">
        <v>18</v>
      </c>
      <c r="D24">
        <v>21</v>
      </c>
    </row>
    <row r="25" spans="1:4" x14ac:dyDescent="0.3">
      <c r="A25">
        <v>51</v>
      </c>
      <c r="B25">
        <v>22</v>
      </c>
      <c r="C25">
        <v>17</v>
      </c>
      <c r="D25">
        <v>21</v>
      </c>
    </row>
    <row r="26" spans="1:4" x14ac:dyDescent="0.3">
      <c r="A26">
        <v>50</v>
      </c>
      <c r="B26">
        <v>23</v>
      </c>
      <c r="C26">
        <v>21</v>
      </c>
      <c r="D26">
        <v>22</v>
      </c>
    </row>
    <row r="27" spans="1:4" x14ac:dyDescent="0.3">
      <c r="A27">
        <v>66</v>
      </c>
      <c r="B27">
        <v>22</v>
      </c>
      <c r="C27">
        <v>19</v>
      </c>
      <c r="D27">
        <v>20</v>
      </c>
    </row>
    <row r="28" spans="1:4" x14ac:dyDescent="0.3">
      <c r="A28">
        <v>49</v>
      </c>
      <c r="B28">
        <v>21</v>
      </c>
      <c r="C28">
        <v>23</v>
      </c>
      <c r="D28">
        <v>20</v>
      </c>
    </row>
    <row r="29" spans="1:4" x14ac:dyDescent="0.3">
      <c r="A29">
        <v>91</v>
      </c>
      <c r="B29">
        <v>28</v>
      </c>
      <c r="C29">
        <v>26</v>
      </c>
      <c r="D29">
        <v>27</v>
      </c>
    </row>
    <row r="30" spans="1:4" x14ac:dyDescent="0.3">
      <c r="A30">
        <v>66</v>
      </c>
      <c r="B30">
        <v>24</v>
      </c>
      <c r="C30">
        <v>17</v>
      </c>
      <c r="D30">
        <v>24</v>
      </c>
    </row>
    <row r="31" spans="1:4" x14ac:dyDescent="0.3">
      <c r="A31">
        <v>58</v>
      </c>
      <c r="B31">
        <v>25</v>
      </c>
      <c r="C31">
        <v>17</v>
      </c>
      <c r="D31">
        <v>21</v>
      </c>
    </row>
    <row r="32" spans="1:4" x14ac:dyDescent="0.3">
      <c r="A32">
        <v>80</v>
      </c>
      <c r="B32">
        <v>24</v>
      </c>
      <c r="C32">
        <v>21</v>
      </c>
      <c r="D32">
        <v>23</v>
      </c>
    </row>
    <row r="33" spans="1:4" x14ac:dyDescent="0.3">
      <c r="A33">
        <v>58</v>
      </c>
      <c r="B33">
        <v>20</v>
      </c>
      <c r="C33">
        <v>18</v>
      </c>
      <c r="D33">
        <v>22</v>
      </c>
    </row>
    <row r="34" spans="1:4" x14ac:dyDescent="0.3">
      <c r="A34">
        <v>50</v>
      </c>
      <c r="B34">
        <v>23</v>
      </c>
      <c r="C34">
        <v>16</v>
      </c>
      <c r="D34">
        <v>21</v>
      </c>
    </row>
    <row r="35" spans="1:4" x14ac:dyDescent="0.3">
      <c r="A35">
        <v>44</v>
      </c>
      <c r="B35">
        <v>23</v>
      </c>
      <c r="C35">
        <v>17</v>
      </c>
      <c r="D35">
        <v>20</v>
      </c>
    </row>
    <row r="36" spans="1:4" x14ac:dyDescent="0.3">
      <c r="A36">
        <v>53</v>
      </c>
      <c r="B36">
        <v>21</v>
      </c>
      <c r="C36">
        <v>19</v>
      </c>
      <c r="D36">
        <v>21</v>
      </c>
    </row>
    <row r="37" spans="1:4" x14ac:dyDescent="0.3">
      <c r="A37">
        <v>62</v>
      </c>
      <c r="B37">
        <v>20</v>
      </c>
      <c r="C37">
        <v>16</v>
      </c>
      <c r="D37">
        <v>20</v>
      </c>
    </row>
    <row r="38" spans="1:4" x14ac:dyDescent="0.3">
      <c r="A38">
        <v>40</v>
      </c>
      <c r="B38">
        <v>19</v>
      </c>
      <c r="C38">
        <v>19</v>
      </c>
      <c r="D38">
        <v>20</v>
      </c>
    </row>
    <row r="39" spans="1:4" x14ac:dyDescent="0.3">
      <c r="A39">
        <v>45</v>
      </c>
      <c r="B39">
        <v>20</v>
      </c>
      <c r="C39">
        <v>17</v>
      </c>
      <c r="D39">
        <v>19</v>
      </c>
    </row>
    <row r="40" spans="1:4" x14ac:dyDescent="0.3">
      <c r="A40">
        <v>23</v>
      </c>
      <c r="B40">
        <v>21</v>
      </c>
      <c r="C40">
        <v>9</v>
      </c>
      <c r="D40">
        <v>16</v>
      </c>
    </row>
    <row r="41" spans="1:4" x14ac:dyDescent="0.3">
      <c r="A41">
        <v>66</v>
      </c>
      <c r="B41">
        <v>25</v>
      </c>
      <c r="C41">
        <v>24</v>
      </c>
      <c r="D41">
        <v>22</v>
      </c>
    </row>
    <row r="42" spans="1:4" x14ac:dyDescent="0.3">
      <c r="A42">
        <v>52</v>
      </c>
      <c r="B42">
        <v>24</v>
      </c>
      <c r="C42">
        <v>15</v>
      </c>
      <c r="D42">
        <v>20</v>
      </c>
    </row>
    <row r="43" spans="1:4" x14ac:dyDescent="0.3">
      <c r="A43">
        <v>47</v>
      </c>
      <c r="B43">
        <v>21</v>
      </c>
      <c r="C43">
        <v>17</v>
      </c>
      <c r="D43">
        <v>20</v>
      </c>
    </row>
    <row r="44" spans="1:4" x14ac:dyDescent="0.3">
      <c r="A44">
        <v>70</v>
      </c>
      <c r="B44">
        <v>24</v>
      </c>
      <c r="C44">
        <v>26</v>
      </c>
      <c r="D44">
        <v>23</v>
      </c>
    </row>
    <row r="45" spans="1:4" x14ac:dyDescent="0.3">
      <c r="A45">
        <v>56</v>
      </c>
      <c r="B45">
        <v>21</v>
      </c>
      <c r="C45">
        <v>20</v>
      </c>
      <c r="D45">
        <v>21</v>
      </c>
    </row>
    <row r="46" spans="1:4" x14ac:dyDescent="0.3">
      <c r="A46">
        <v>55</v>
      </c>
      <c r="B46">
        <v>24</v>
      </c>
      <c r="C46">
        <v>21</v>
      </c>
      <c r="D46">
        <v>14</v>
      </c>
    </row>
    <row r="47" spans="1:4" x14ac:dyDescent="0.3">
      <c r="A47">
        <v>52</v>
      </c>
      <c r="B47">
        <v>21</v>
      </c>
      <c r="C47">
        <v>18</v>
      </c>
      <c r="D47">
        <v>20</v>
      </c>
    </row>
    <row r="48" spans="1:4" x14ac:dyDescent="0.3">
      <c r="A48">
        <v>49</v>
      </c>
      <c r="B48">
        <v>21</v>
      </c>
      <c r="C48">
        <v>17</v>
      </c>
      <c r="D48">
        <v>19</v>
      </c>
    </row>
    <row r="49" spans="1:4" x14ac:dyDescent="0.3">
      <c r="A49">
        <v>26</v>
      </c>
      <c r="B49">
        <v>24</v>
      </c>
      <c r="C49">
        <v>18</v>
      </c>
      <c r="D49">
        <v>20</v>
      </c>
    </row>
    <row r="50" spans="1:4" x14ac:dyDescent="0.3">
      <c r="A50">
        <v>79</v>
      </c>
      <c r="B50">
        <v>26</v>
      </c>
      <c r="C50">
        <v>25</v>
      </c>
      <c r="D50">
        <v>26</v>
      </c>
    </row>
    <row r="51" spans="1:4" x14ac:dyDescent="0.3">
      <c r="A51">
        <v>40</v>
      </c>
      <c r="B51">
        <v>20</v>
      </c>
      <c r="C51">
        <v>15</v>
      </c>
      <c r="D51">
        <v>18</v>
      </c>
    </row>
    <row r="52" spans="1:4" x14ac:dyDescent="0.3">
      <c r="A52">
        <v>54</v>
      </c>
      <c r="B52">
        <v>23</v>
      </c>
      <c r="C52">
        <v>21</v>
      </c>
      <c r="D52">
        <v>21</v>
      </c>
    </row>
    <row r="53" spans="1:4" x14ac:dyDescent="0.3">
      <c r="A53">
        <v>35</v>
      </c>
      <c r="B53">
        <v>25</v>
      </c>
      <c r="C53">
        <v>20</v>
      </c>
      <c r="D53">
        <v>23</v>
      </c>
    </row>
    <row r="54" spans="1:4" x14ac:dyDescent="0.3">
      <c r="A54">
        <v>29</v>
      </c>
      <c r="B54">
        <v>24</v>
      </c>
      <c r="C54">
        <v>19</v>
      </c>
      <c r="D54">
        <v>19</v>
      </c>
    </row>
    <row r="55" spans="1:4" x14ac:dyDescent="0.3">
      <c r="A55">
        <v>24</v>
      </c>
      <c r="B55">
        <v>21</v>
      </c>
      <c r="C55">
        <v>17</v>
      </c>
      <c r="D55">
        <v>19</v>
      </c>
    </row>
    <row r="56" spans="1:4" x14ac:dyDescent="0.3">
      <c r="A56">
        <v>26</v>
      </c>
      <c r="B56">
        <v>20</v>
      </c>
      <c r="C56">
        <v>16</v>
      </c>
      <c r="D56">
        <v>20</v>
      </c>
    </row>
    <row r="57" spans="1:4" x14ac:dyDescent="0.3">
      <c r="A57">
        <v>31</v>
      </c>
      <c r="B57">
        <v>23</v>
      </c>
      <c r="C57">
        <v>16</v>
      </c>
      <c r="D57">
        <v>20</v>
      </c>
    </row>
    <row r="58" spans="1:4" x14ac:dyDescent="0.3">
      <c r="A58">
        <v>42</v>
      </c>
      <c r="B58">
        <v>24</v>
      </c>
      <c r="C58">
        <v>21</v>
      </c>
      <c r="D58">
        <v>22</v>
      </c>
    </row>
    <row r="59" spans="1:4" x14ac:dyDescent="0.3">
      <c r="A59">
        <v>33</v>
      </c>
      <c r="B59">
        <v>25</v>
      </c>
      <c r="C59">
        <v>19</v>
      </c>
      <c r="D59">
        <v>18</v>
      </c>
    </row>
    <row r="60" spans="1:4" x14ac:dyDescent="0.3">
      <c r="A60">
        <v>25</v>
      </c>
      <c r="B60">
        <v>22</v>
      </c>
      <c r="C60">
        <v>15</v>
      </c>
      <c r="D60">
        <v>19</v>
      </c>
    </row>
    <row r="61" spans="1:4" x14ac:dyDescent="0.3">
      <c r="A61">
        <v>47</v>
      </c>
      <c r="B61">
        <v>25</v>
      </c>
      <c r="C61">
        <v>20</v>
      </c>
      <c r="D61">
        <v>24</v>
      </c>
    </row>
    <row r="62" spans="1:4" x14ac:dyDescent="0.3">
      <c r="A62">
        <v>50</v>
      </c>
      <c r="B62">
        <v>26</v>
      </c>
      <c r="C62">
        <v>28</v>
      </c>
      <c r="D62">
        <v>25</v>
      </c>
    </row>
    <row r="63" spans="1:4" x14ac:dyDescent="0.3">
      <c r="A63">
        <v>59</v>
      </c>
      <c r="B63">
        <v>22</v>
      </c>
      <c r="C63">
        <v>20</v>
      </c>
      <c r="D63">
        <v>22</v>
      </c>
    </row>
    <row r="64" spans="1:4" x14ac:dyDescent="0.3">
      <c r="A64">
        <v>35</v>
      </c>
      <c r="B64">
        <v>24</v>
      </c>
      <c r="C64">
        <v>22</v>
      </c>
      <c r="D64">
        <v>20</v>
      </c>
    </row>
    <row r="65" spans="1:4" x14ac:dyDescent="0.3">
      <c r="A65">
        <v>36</v>
      </c>
      <c r="B65">
        <v>22</v>
      </c>
      <c r="C65">
        <v>17</v>
      </c>
      <c r="D65">
        <v>20</v>
      </c>
    </row>
    <row r="66" spans="1:4" x14ac:dyDescent="0.3">
      <c r="A66">
        <v>43</v>
      </c>
      <c r="B66">
        <v>24</v>
      </c>
      <c r="C66">
        <v>21</v>
      </c>
      <c r="D66">
        <v>22</v>
      </c>
    </row>
    <row r="67" spans="1:4" x14ac:dyDescent="0.3">
      <c r="A67">
        <v>40</v>
      </c>
      <c r="B67">
        <v>21</v>
      </c>
      <c r="C67">
        <v>18</v>
      </c>
      <c r="D67">
        <v>21</v>
      </c>
    </row>
    <row r="68" spans="1:4" x14ac:dyDescent="0.3">
      <c r="A68">
        <v>56</v>
      </c>
      <c r="B68">
        <v>23</v>
      </c>
      <c r="C68">
        <v>20</v>
      </c>
      <c r="D68">
        <v>25</v>
      </c>
    </row>
    <row r="69" spans="1:4" x14ac:dyDescent="0.3">
      <c r="A69">
        <v>34</v>
      </c>
      <c r="B69">
        <v>22</v>
      </c>
      <c r="C69">
        <v>21</v>
      </c>
      <c r="D69">
        <v>20</v>
      </c>
    </row>
    <row r="70" spans="1:4" x14ac:dyDescent="0.3">
      <c r="A70">
        <v>41</v>
      </c>
      <c r="B70">
        <v>22</v>
      </c>
      <c r="C70">
        <v>12</v>
      </c>
      <c r="D70">
        <v>19</v>
      </c>
    </row>
    <row r="71" spans="1:4" x14ac:dyDescent="0.3">
      <c r="A71">
        <v>55</v>
      </c>
      <c r="B71">
        <v>23</v>
      </c>
      <c r="C71">
        <v>24</v>
      </c>
      <c r="D71">
        <v>23</v>
      </c>
    </row>
    <row r="72" spans="1:4" x14ac:dyDescent="0.3">
      <c r="A72">
        <v>42</v>
      </c>
      <c r="B72">
        <v>24</v>
      </c>
      <c r="C72">
        <v>25</v>
      </c>
      <c r="D72">
        <v>19</v>
      </c>
    </row>
    <row r="73" spans="1:4" x14ac:dyDescent="0.3">
      <c r="A73">
        <v>43</v>
      </c>
      <c r="B73">
        <v>22</v>
      </c>
      <c r="C73">
        <v>19</v>
      </c>
      <c r="D73">
        <v>21</v>
      </c>
    </row>
    <row r="74" spans="1:4" x14ac:dyDescent="0.3">
      <c r="A74">
        <v>43</v>
      </c>
      <c r="B74">
        <v>23</v>
      </c>
      <c r="C74">
        <v>18</v>
      </c>
      <c r="D74">
        <v>22</v>
      </c>
    </row>
    <row r="75" spans="1:4" x14ac:dyDescent="0.3">
      <c r="A75">
        <v>64</v>
      </c>
      <c r="B75">
        <v>24</v>
      </c>
      <c r="C75">
        <v>20</v>
      </c>
      <c r="D75">
        <v>21</v>
      </c>
    </row>
    <row r="76" spans="1:4" x14ac:dyDescent="0.3">
      <c r="A76">
        <v>46</v>
      </c>
      <c r="B76">
        <v>23</v>
      </c>
      <c r="C76">
        <v>19</v>
      </c>
      <c r="D76">
        <v>23</v>
      </c>
    </row>
    <row r="77" spans="1:4" x14ac:dyDescent="0.3">
      <c r="A77">
        <v>46</v>
      </c>
      <c r="B77">
        <v>23</v>
      </c>
      <c r="C77">
        <v>18</v>
      </c>
      <c r="D77">
        <v>17</v>
      </c>
    </row>
    <row r="78" spans="1:4" x14ac:dyDescent="0.3">
      <c r="A78">
        <v>81</v>
      </c>
      <c r="B78">
        <v>23</v>
      </c>
      <c r="C78">
        <v>22</v>
      </c>
      <c r="D78">
        <v>21</v>
      </c>
    </row>
    <row r="79" spans="1:4" x14ac:dyDescent="0.3">
      <c r="A79">
        <v>33</v>
      </c>
      <c r="B79">
        <v>21</v>
      </c>
      <c r="C79">
        <v>21</v>
      </c>
      <c r="D79">
        <v>20</v>
      </c>
    </row>
    <row r="80" spans="1:4" x14ac:dyDescent="0.3">
      <c r="A80">
        <v>37</v>
      </c>
      <c r="B80">
        <v>20</v>
      </c>
      <c r="C80">
        <v>21</v>
      </c>
      <c r="D80">
        <v>20</v>
      </c>
    </row>
    <row r="81" spans="1:4" x14ac:dyDescent="0.3">
      <c r="A81">
        <v>39</v>
      </c>
      <c r="B81">
        <v>25</v>
      </c>
      <c r="C81">
        <v>16</v>
      </c>
      <c r="D81">
        <v>20</v>
      </c>
    </row>
    <row r="82" spans="1:4" x14ac:dyDescent="0.3">
      <c r="A82">
        <v>54</v>
      </c>
      <c r="B82">
        <v>24</v>
      </c>
      <c r="C82">
        <v>19</v>
      </c>
      <c r="D82">
        <v>22</v>
      </c>
    </row>
    <row r="83" spans="1:4" x14ac:dyDescent="0.3">
      <c r="A83">
        <v>53</v>
      </c>
      <c r="B83">
        <v>26</v>
      </c>
      <c r="C83">
        <v>18</v>
      </c>
      <c r="D83">
        <v>23</v>
      </c>
    </row>
    <row r="84" spans="1:4" x14ac:dyDescent="0.3">
      <c r="A84">
        <v>41</v>
      </c>
      <c r="B84">
        <v>19</v>
      </c>
      <c r="C84">
        <v>16</v>
      </c>
      <c r="D84">
        <v>17</v>
      </c>
    </row>
    <row r="85" spans="1:4" x14ac:dyDescent="0.3">
      <c r="A85">
        <v>39</v>
      </c>
      <c r="B85">
        <v>22</v>
      </c>
      <c r="C85">
        <v>21</v>
      </c>
      <c r="D85">
        <v>21</v>
      </c>
    </row>
    <row r="86" spans="1:4" x14ac:dyDescent="0.3">
      <c r="A86">
        <v>52</v>
      </c>
      <c r="B86">
        <v>23</v>
      </c>
      <c r="C86">
        <v>22</v>
      </c>
      <c r="D86">
        <v>21</v>
      </c>
    </row>
    <row r="87" spans="1:4" x14ac:dyDescent="0.3">
      <c r="A87">
        <v>52</v>
      </c>
      <c r="B87">
        <v>25</v>
      </c>
      <c r="C87">
        <v>22</v>
      </c>
      <c r="D87">
        <v>25</v>
      </c>
    </row>
    <row r="88" spans="1:4" x14ac:dyDescent="0.3">
      <c r="A88">
        <v>42</v>
      </c>
      <c r="B88">
        <v>24</v>
      </c>
      <c r="C88">
        <v>20</v>
      </c>
      <c r="D88">
        <v>23</v>
      </c>
    </row>
    <row r="89" spans="1:4" x14ac:dyDescent="0.3">
      <c r="A89">
        <v>59</v>
      </c>
      <c r="B89">
        <v>24</v>
      </c>
      <c r="C89">
        <v>20</v>
      </c>
      <c r="D89">
        <v>22</v>
      </c>
    </row>
    <row r="90" spans="1:4" x14ac:dyDescent="0.3">
      <c r="A90">
        <v>39</v>
      </c>
      <c r="B90">
        <v>20</v>
      </c>
      <c r="C90">
        <v>22</v>
      </c>
      <c r="D90">
        <v>19</v>
      </c>
    </row>
    <row r="91" spans="1:4" x14ac:dyDescent="0.3">
      <c r="A91">
        <v>69</v>
      </c>
      <c r="B91">
        <v>24</v>
      </c>
      <c r="C91">
        <v>24</v>
      </c>
      <c r="D91">
        <v>22</v>
      </c>
    </row>
    <row r="92" spans="1:4" x14ac:dyDescent="0.3">
      <c r="A92">
        <v>41</v>
      </c>
      <c r="B92">
        <v>23</v>
      </c>
      <c r="C92">
        <v>21</v>
      </c>
      <c r="D92">
        <v>23</v>
      </c>
    </row>
    <row r="93" spans="1:4" x14ac:dyDescent="0.3">
      <c r="A93">
        <v>51</v>
      </c>
      <c r="B93">
        <v>24</v>
      </c>
      <c r="C93">
        <v>22</v>
      </c>
      <c r="D93">
        <v>21</v>
      </c>
    </row>
    <row r="94" spans="1:4" x14ac:dyDescent="0.3">
      <c r="A94">
        <v>36</v>
      </c>
      <c r="B94">
        <v>24</v>
      </c>
      <c r="C94">
        <v>16</v>
      </c>
      <c r="D94">
        <v>21</v>
      </c>
    </row>
    <row r="95" spans="1:4" x14ac:dyDescent="0.3">
      <c r="A95">
        <v>46</v>
      </c>
      <c r="B95">
        <v>25</v>
      </c>
      <c r="C95">
        <v>20</v>
      </c>
      <c r="D95">
        <v>22</v>
      </c>
    </row>
    <row r="96" spans="1:4" x14ac:dyDescent="0.3">
      <c r="A96">
        <v>44</v>
      </c>
      <c r="B96">
        <v>24</v>
      </c>
      <c r="C96">
        <v>23</v>
      </c>
      <c r="D96">
        <v>23</v>
      </c>
    </row>
    <row r="97" spans="1:4" x14ac:dyDescent="0.3">
      <c r="A97">
        <v>75</v>
      </c>
      <c r="B97">
        <v>27</v>
      </c>
      <c r="C97">
        <v>21</v>
      </c>
      <c r="D97">
        <v>24</v>
      </c>
    </row>
    <row r="98" spans="1:4" x14ac:dyDescent="0.3">
      <c r="A98">
        <v>56</v>
      </c>
      <c r="B98">
        <v>25</v>
      </c>
      <c r="C98">
        <v>19</v>
      </c>
      <c r="D98">
        <v>23</v>
      </c>
    </row>
    <row r="99" spans="1:4" x14ac:dyDescent="0.3">
      <c r="A99">
        <v>36</v>
      </c>
      <c r="B99">
        <v>24</v>
      </c>
      <c r="C99">
        <v>19</v>
      </c>
      <c r="D99">
        <v>21</v>
      </c>
    </row>
    <row r="100" spans="1:4" x14ac:dyDescent="0.3">
      <c r="A100">
        <v>33</v>
      </c>
      <c r="B100">
        <v>21</v>
      </c>
      <c r="C100">
        <v>22</v>
      </c>
      <c r="D100">
        <v>21</v>
      </c>
    </row>
    <row r="101" spans="1:4" x14ac:dyDescent="0.3">
      <c r="A101">
        <v>45</v>
      </c>
      <c r="B101">
        <v>26</v>
      </c>
      <c r="C101">
        <v>21</v>
      </c>
      <c r="D10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B5CB-080A-4B3A-876D-9310776D5037}">
  <sheetPr codeName="Sheet37"/>
  <dimension ref="A1:O52"/>
  <sheetViews>
    <sheetView tabSelected="1" workbookViewId="0">
      <selection activeCell="O46" sqref="O46"/>
    </sheetView>
  </sheetViews>
  <sheetFormatPr defaultColWidth="9.109375" defaultRowHeight="14.4" x14ac:dyDescent="0.3"/>
  <cols>
    <col min="1" max="1" width="15.6640625" style="4" bestFit="1" customWidth="1"/>
    <col min="2" max="2" width="11.109375" style="4" bestFit="1" customWidth="1"/>
    <col min="3" max="3" width="13.44140625" style="4" bestFit="1" customWidth="1"/>
    <col min="4" max="4" width="9.5546875" style="4" bestFit="1" customWidth="1"/>
    <col min="5" max="5" width="7.6640625" style="4" bestFit="1" customWidth="1"/>
    <col min="6" max="6" width="12.44140625" style="4" bestFit="1" customWidth="1"/>
    <col min="7" max="7" width="10.5546875" style="4" bestFit="1" customWidth="1"/>
    <col min="8" max="8" width="12.44140625" style="4" bestFit="1" customWidth="1"/>
    <col min="9" max="9" width="12.5546875" style="4" bestFit="1" customWidth="1"/>
    <col min="10" max="10" width="1.5546875" style="4" customWidth="1"/>
    <col min="11" max="11" width="25.109375" style="4" customWidth="1"/>
    <col min="12" max="13" width="12" style="4" customWidth="1"/>
    <col min="14" max="14" width="9.5546875" style="4" bestFit="1" customWidth="1"/>
    <col min="15" max="16384" width="9.109375" style="4"/>
  </cols>
  <sheetData>
    <row r="1" spans="1:15" ht="15" customHeight="1" thickBot="1" x14ac:dyDescent="0.35">
      <c r="A1" s="3" t="s">
        <v>40</v>
      </c>
      <c r="K1" s="24" t="s">
        <v>12</v>
      </c>
      <c r="L1" s="25"/>
      <c r="M1" s="25"/>
      <c r="N1" s="25"/>
    </row>
    <row r="2" spans="1:15" ht="15" customHeight="1" thickBot="1" x14ac:dyDescent="0.35">
      <c r="K2" s="4" t="s">
        <v>42</v>
      </c>
      <c r="L2" s="14">
        <f t="array" ref="L2:O6">LINEST(MRData!$A$2:$A$101, MRData!$B$2:$D$101,TRUE,TRUE)</f>
        <v>2.8827185806680151</v>
      </c>
      <c r="M2" s="15">
        <v>1.2949055875827189</v>
      </c>
      <c r="N2" s="15">
        <v>0.32992185273210295</v>
      </c>
      <c r="O2" s="17">
        <v>-43.756210476171631</v>
      </c>
    </row>
    <row r="3" spans="1:15" ht="15" customHeight="1" x14ac:dyDescent="0.3">
      <c r="A3" s="6" t="s">
        <v>13</v>
      </c>
      <c r="B3" s="7"/>
      <c r="K3" s="8" t="s">
        <v>43</v>
      </c>
      <c r="L3" s="13">
        <v>0.764889120955622</v>
      </c>
      <c r="M3" s="5">
        <v>0.48025513545320603</v>
      </c>
      <c r="N3" s="5">
        <v>0.81701388020780341</v>
      </c>
      <c r="O3" s="18">
        <v>15.421037049710765</v>
      </c>
    </row>
    <row r="4" spans="1:15" ht="15" customHeight="1" x14ac:dyDescent="0.3">
      <c r="A4" s="4" t="s">
        <v>14</v>
      </c>
      <c r="B4" s="5">
        <f>SQRT(C12/C14)</f>
        <v>0.62380586259265791</v>
      </c>
      <c r="K4" s="4" t="s">
        <v>15</v>
      </c>
      <c r="L4" s="13">
        <v>0.38913375420496998</v>
      </c>
      <c r="M4" s="5">
        <v>12.267714792417527</v>
      </c>
      <c r="N4" s="5" t="e">
        <v>#N/A</v>
      </c>
      <c r="O4" s="18" t="e">
        <v>#N/A</v>
      </c>
    </row>
    <row r="5" spans="1:15" ht="15" customHeight="1" x14ac:dyDescent="0.3">
      <c r="A5" s="4" t="s">
        <v>16</v>
      </c>
      <c r="B5" s="5">
        <f>L4</f>
        <v>0.38913375420496998</v>
      </c>
      <c r="K5" s="8" t="s">
        <v>17</v>
      </c>
      <c r="L5" s="13">
        <v>20.384626291394852</v>
      </c>
      <c r="M5" s="4">
        <v>96</v>
      </c>
      <c r="N5" s="5" t="e">
        <v>#N/A</v>
      </c>
      <c r="O5" s="18" t="e">
        <v>#N/A</v>
      </c>
    </row>
    <row r="6" spans="1:15" ht="15" customHeight="1" thickBot="1" x14ac:dyDescent="0.35">
      <c r="A6" s="4" t="s">
        <v>18</v>
      </c>
      <c r="B6" s="20">
        <f>1-(B14/B13)*(C13/C14)</f>
        <v>0.37004418402387529</v>
      </c>
      <c r="C6" s="21">
        <f>B6</f>
        <v>0.37004418402387529</v>
      </c>
      <c r="K6" s="4" t="s">
        <v>19</v>
      </c>
      <c r="L6" s="16">
        <v>9203.4646821024162</v>
      </c>
      <c r="M6" s="9">
        <v>14447.69531789758</v>
      </c>
      <c r="N6" s="12" t="e">
        <v>#N/A</v>
      </c>
      <c r="O6" s="19" t="e">
        <v>#N/A</v>
      </c>
    </row>
    <row r="7" spans="1:15" ht="15" customHeight="1" x14ac:dyDescent="0.3">
      <c r="A7" s="4" t="s">
        <v>20</v>
      </c>
      <c r="B7" s="5">
        <f>M4</f>
        <v>12.267714792417527</v>
      </c>
      <c r="L7" s="5"/>
      <c r="M7" s="5"/>
      <c r="N7" s="5"/>
    </row>
    <row r="8" spans="1:15" ht="15" customHeight="1" thickBot="1" x14ac:dyDescent="0.35">
      <c r="A8" s="9" t="s">
        <v>21</v>
      </c>
      <c r="B8" s="9">
        <f>COUNT(MRData!$A$2:$A$101)</f>
        <v>100</v>
      </c>
      <c r="K8" s="4" t="s">
        <v>22</v>
      </c>
      <c r="L8" s="10">
        <v>0.95</v>
      </c>
      <c r="M8" s="5"/>
      <c r="N8" s="5"/>
    </row>
    <row r="9" spans="1:15" ht="15" customHeight="1" x14ac:dyDescent="0.3">
      <c r="K9" s="8" t="s">
        <v>23</v>
      </c>
      <c r="L9" s="5">
        <f>_xlfn.T.INV.2T(1-L8, B13)</f>
        <v>1.9849843115224561</v>
      </c>
      <c r="M9" s="5"/>
      <c r="N9" s="5"/>
    </row>
    <row r="10" spans="1:15" ht="15" customHeight="1" thickBot="1" x14ac:dyDescent="0.35">
      <c r="A10" s="3" t="s">
        <v>24</v>
      </c>
      <c r="K10" s="4" t="s">
        <v>25</v>
      </c>
      <c r="L10" s="5">
        <f>L$9 * C17</f>
        <v>30.61051661108241</v>
      </c>
      <c r="M10" s="5"/>
      <c r="N10" s="5"/>
    </row>
    <row r="11" spans="1:15" ht="15" customHeight="1" x14ac:dyDescent="0.3">
      <c r="A11" s="11"/>
      <c r="B11" s="11" t="s">
        <v>26</v>
      </c>
      <c r="C11" s="11" t="s">
        <v>27</v>
      </c>
      <c r="D11" s="11" t="s">
        <v>28</v>
      </c>
      <c r="E11" s="11" t="s">
        <v>29</v>
      </c>
      <c r="F11" s="11" t="s">
        <v>30</v>
      </c>
      <c r="K11" s="4" t="s">
        <v>31</v>
      </c>
      <c r="L11" s="5">
        <f t="shared" ref="L11:L13" si="0">L$9 * C18</f>
        <v>1.621759734508577</v>
      </c>
      <c r="M11" s="5"/>
      <c r="N11" s="5"/>
    </row>
    <row r="12" spans="1:15" ht="15" customHeight="1" x14ac:dyDescent="0.3">
      <c r="A12" s="4" t="s">
        <v>32</v>
      </c>
      <c r="B12" s="4">
        <f>B14-B13</f>
        <v>3</v>
      </c>
      <c r="C12" s="5">
        <f>L6</f>
        <v>9203.4646821024162</v>
      </c>
      <c r="D12" s="5">
        <f>C12/B12</f>
        <v>3067.8215607008055</v>
      </c>
      <c r="E12" s="5">
        <f>L5</f>
        <v>20.384626291394852</v>
      </c>
      <c r="F12" s="20">
        <f>_xlfn.F.DIST.RT(E12, B12, B13)</f>
        <v>2.6528186608754773E-10</v>
      </c>
      <c r="K12" s="4" t="s">
        <v>33</v>
      </c>
      <c r="L12" s="5">
        <f t="shared" si="0"/>
        <v>0.95329890940270612</v>
      </c>
    </row>
    <row r="13" spans="1:15" ht="15" customHeight="1" x14ac:dyDescent="0.3">
      <c r="A13" s="4" t="s">
        <v>34</v>
      </c>
      <c r="B13" s="4">
        <f>M5</f>
        <v>96</v>
      </c>
      <c r="C13" s="5">
        <f>M6</f>
        <v>14447.69531789758</v>
      </c>
      <c r="D13" s="5">
        <f>C13/B13</f>
        <v>150.49682622809979</v>
      </c>
      <c r="E13" s="5"/>
      <c r="F13" s="5"/>
      <c r="K13" s="4" t="s">
        <v>41</v>
      </c>
      <c r="L13" s="5">
        <f t="shared" si="0"/>
        <v>1.518292905151112</v>
      </c>
    </row>
    <row r="14" spans="1:15" ht="15" customHeight="1" thickBot="1" x14ac:dyDescent="0.35">
      <c r="A14" s="9" t="s">
        <v>35</v>
      </c>
      <c r="B14" s="9">
        <f>B8-1</f>
        <v>99</v>
      </c>
      <c r="C14" s="12">
        <f>C12+C13</f>
        <v>23651.159999999996</v>
      </c>
      <c r="D14" s="12"/>
      <c r="E14" s="12"/>
      <c r="F14" s="12"/>
    </row>
    <row r="15" spans="1:15" ht="15" customHeight="1" thickBot="1" x14ac:dyDescent="0.35"/>
    <row r="16" spans="1:15" ht="15" customHeight="1" x14ac:dyDescent="0.3">
      <c r="A16" s="11"/>
      <c r="B16" s="11" t="s">
        <v>36</v>
      </c>
      <c r="C16" s="11" t="s">
        <v>20</v>
      </c>
      <c r="D16" s="11" t="s">
        <v>37</v>
      </c>
      <c r="E16" s="11" t="s">
        <v>38</v>
      </c>
      <c r="F16" s="11" t="str">
        <f>"Lower " &amp; TEXT(L8, "##%")</f>
        <v>Lower 95%</v>
      </c>
      <c r="G16" s="11" t="str">
        <f>"Upper " &amp; TEXT(L8, "##%")</f>
        <v>Upper 95%</v>
      </c>
      <c r="H16" s="11" t="str">
        <f t="shared" ref="H16:I17" si="1">F16</f>
        <v>Lower 95%</v>
      </c>
      <c r="I16" s="11" t="str">
        <f t="shared" si="1"/>
        <v>Upper 95%</v>
      </c>
    </row>
    <row r="17" spans="1:15" ht="15" customHeight="1" x14ac:dyDescent="0.3">
      <c r="A17" s="4" t="s">
        <v>39</v>
      </c>
      <c r="B17" s="20">
        <f>$O$2</f>
        <v>-43.756210476171631</v>
      </c>
      <c r="C17" s="5">
        <f>$O$3</f>
        <v>15.421037049710765</v>
      </c>
      <c r="D17" s="5">
        <f>B17/C17</f>
        <v>-2.8374363108732896</v>
      </c>
      <c r="E17" s="5">
        <f>_xlfn.T.DIST.2T(ABS(D17), B$13)</f>
        <v>5.5487166604835676E-3</v>
      </c>
      <c r="F17" s="5">
        <f>B17-L10</f>
        <v>-74.366727087254048</v>
      </c>
      <c r="G17" s="5">
        <f>B17+L10</f>
        <v>-13.145693865089221</v>
      </c>
      <c r="H17" s="5">
        <f t="shared" si="1"/>
        <v>-74.366727087254048</v>
      </c>
      <c r="I17" s="5">
        <f t="shared" si="1"/>
        <v>-13.145693865089221</v>
      </c>
    </row>
    <row r="18" spans="1:15" ht="15" customHeight="1" x14ac:dyDescent="0.3">
      <c r="A18" s="4" t="str">
        <f>MRData!B1</f>
        <v>Food (X1)</v>
      </c>
      <c r="B18" s="20">
        <f>$N$2</f>
        <v>0.32992185273210295</v>
      </c>
      <c r="C18" s="5">
        <f>$N$3</f>
        <v>0.81701388020780341</v>
      </c>
      <c r="D18" s="5">
        <f t="shared" ref="D18:D20" si="2">B18/C18</f>
        <v>0.40381425667846543</v>
      </c>
      <c r="E18" s="20">
        <f t="shared" ref="E18:E20" si="3">_xlfn.T.DIST.2T(ABS(D18), B$13)</f>
        <v>0.68724742741828049</v>
      </c>
      <c r="F18" s="5">
        <f t="shared" ref="F18:F20" si="4">B18-L11</f>
        <v>-1.2918378817764742</v>
      </c>
      <c r="G18" s="5">
        <f t="shared" ref="G18:G20" si="5">B18+L11</f>
        <v>1.9516815872406799</v>
      </c>
      <c r="H18" s="5">
        <f t="shared" ref="H18:H20" si="6">F18</f>
        <v>-1.2918378817764742</v>
      </c>
      <c r="I18" s="5">
        <f t="shared" ref="I18:I20" si="7">G18</f>
        <v>1.9516815872406799</v>
      </c>
    </row>
    <row r="19" spans="1:15" ht="15" customHeight="1" x14ac:dyDescent="0.3">
      <c r="A19" s="4" t="str">
        <f>MRData!C1</f>
        <v>Décor (X2)</v>
      </c>
      <c r="B19" s="20">
        <f>$M$2</f>
        <v>1.2949055875827189</v>
      </c>
      <c r="C19" s="5">
        <f>$M$3</f>
        <v>0.48025513545320603</v>
      </c>
      <c r="D19" s="5">
        <f t="shared" si="2"/>
        <v>2.6962868108859377</v>
      </c>
      <c r="E19" s="20">
        <f t="shared" si="3"/>
        <v>8.2810581215577335E-3</v>
      </c>
      <c r="F19" s="5">
        <f t="shared" si="4"/>
        <v>0.34160667818001278</v>
      </c>
      <c r="G19" s="5">
        <f t="shared" si="5"/>
        <v>2.2482044969854251</v>
      </c>
      <c r="H19" s="5">
        <f t="shared" si="6"/>
        <v>0.34160667818001278</v>
      </c>
      <c r="I19" s="5">
        <f t="shared" si="7"/>
        <v>2.2482044969854251</v>
      </c>
    </row>
    <row r="20" spans="1:15" ht="15" customHeight="1" thickBot="1" x14ac:dyDescent="0.35">
      <c r="A20" s="9" t="str">
        <f>MRData!D1</f>
        <v>Service (X3)</v>
      </c>
      <c r="B20" s="22">
        <f>$L$2</f>
        <v>2.8827185806680151</v>
      </c>
      <c r="C20" s="12">
        <f>$L$3</f>
        <v>0.764889120955622</v>
      </c>
      <c r="D20" s="12">
        <f t="shared" si="2"/>
        <v>3.7688058330159819</v>
      </c>
      <c r="E20" s="22">
        <f t="shared" si="3"/>
        <v>2.8318651398909857E-4</v>
      </c>
      <c r="F20" s="12">
        <f t="shared" si="4"/>
        <v>1.3644256755169031</v>
      </c>
      <c r="G20" s="12">
        <f t="shared" si="5"/>
        <v>4.4010114858191276</v>
      </c>
      <c r="H20" s="12">
        <f t="shared" si="6"/>
        <v>1.3644256755169031</v>
      </c>
      <c r="I20" s="12">
        <f t="shared" si="7"/>
        <v>4.4010114858191276</v>
      </c>
    </row>
    <row r="21" spans="1:15" ht="15" customHeight="1" x14ac:dyDescent="0.3"/>
    <row r="22" spans="1:15" ht="15" customHeight="1" x14ac:dyDescent="0.3">
      <c r="A22" s="4" t="s">
        <v>65</v>
      </c>
    </row>
    <row r="23" spans="1:15" ht="15" customHeight="1" x14ac:dyDescent="0.3"/>
    <row r="24" spans="1:15" ht="15" customHeight="1" x14ac:dyDescent="0.3">
      <c r="A24" s="4" t="s">
        <v>66</v>
      </c>
    </row>
    <row r="25" spans="1:15" ht="15" customHeight="1" x14ac:dyDescent="0.3">
      <c r="A25" s="3" t="s">
        <v>45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3">
      <c r="A26" s="3" t="s">
        <v>46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5" ht="15" customHeight="1" x14ac:dyDescent="0.3">
      <c r="A27" s="3" t="s">
        <v>47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5" ht="1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5" ht="15" customHeight="1" x14ac:dyDescent="0.3">
      <c r="A29" s="3" t="s">
        <v>48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5" ht="15" customHeight="1" x14ac:dyDescent="0.3">
      <c r="A30" s="3" t="s">
        <v>49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5" ht="15" customHeight="1" x14ac:dyDescent="0.3">
      <c r="A31" s="3" t="s">
        <v>50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5" ht="15" customHeight="1" x14ac:dyDescent="0.3">
      <c r="A32" s="3" t="s">
        <v>51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5" customHeight="1" x14ac:dyDescent="0.3">
      <c r="A34" s="3" t="s">
        <v>52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5" customHeight="1" x14ac:dyDescent="0.3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3">
      <c r="A36" s="3" t="s">
        <v>57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3">
      <c r="A38" s="3" t="s">
        <v>54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3">
      <c r="A39" s="3" t="s">
        <v>55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3">
      <c r="A40" s="3" t="s">
        <v>56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3">
      <c r="A42" s="3" t="s">
        <v>58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3">
      <c r="A43" s="3" t="s">
        <v>59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3">
      <c r="A44" s="3" t="s">
        <v>60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3">
      <c r="A46" s="3" t="s">
        <v>61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3">
      <c r="A47" s="3" t="s">
        <v>62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3">
      <c r="A48" s="3" t="s">
        <v>67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3">
      <c r="A50" s="3" t="s">
        <v>63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3">
      <c r="A51" s="3" t="s">
        <v>64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</sheetData>
  <mergeCells count="1">
    <mergeCell ref="K1:N1"/>
  </mergeCells>
  <phoneticPr fontId="9" type="noConversion"/>
  <pageMargins left="0.7" right="0.7" top="0.75" bottom="0.75" header="0.3" footer="0.3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616C-125A-46F8-AA88-2603F244DA10}"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1DDB-5DFE-4305-A89B-017A7813D1E2}">
  <dimension ref="A1:F101"/>
  <sheetViews>
    <sheetView topLeftCell="A91" workbookViewId="0">
      <selection activeCell="F19" sqref="F19"/>
    </sheetView>
  </sheetViews>
  <sheetFormatPr defaultRowHeight="14.4" x14ac:dyDescent="0.3"/>
  <cols>
    <col min="1" max="1" width="17.88671875" customWidth="1"/>
    <col min="2" max="3" width="25.44140625" customWidth="1"/>
    <col min="4" max="4" width="17.77734375" customWidth="1"/>
    <col min="5" max="5" width="20" customWidth="1"/>
    <col min="6" max="6" width="25.109375" customWidth="1"/>
  </cols>
  <sheetData>
    <row r="1" spans="1:6" x14ac:dyDescent="0.3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/>
    </row>
    <row r="2" spans="1:6" x14ac:dyDescent="0.3">
      <c r="A2" t="s">
        <v>1</v>
      </c>
      <c r="B2">
        <v>81</v>
      </c>
      <c r="C2">
        <v>23</v>
      </c>
      <c r="D2">
        <v>20</v>
      </c>
      <c r="E2">
        <v>23</v>
      </c>
    </row>
    <row r="3" spans="1:6" x14ac:dyDescent="0.3">
      <c r="A3" t="s">
        <v>1</v>
      </c>
      <c r="B3">
        <v>28</v>
      </c>
      <c r="C3">
        <v>20</v>
      </c>
      <c r="D3">
        <v>14</v>
      </c>
      <c r="E3">
        <v>19</v>
      </c>
    </row>
    <row r="4" spans="1:6" x14ac:dyDescent="0.3">
      <c r="A4" t="s">
        <v>1</v>
      </c>
      <c r="B4">
        <v>24</v>
      </c>
      <c r="C4">
        <v>22</v>
      </c>
      <c r="D4">
        <v>14</v>
      </c>
      <c r="E4">
        <v>16</v>
      </c>
    </row>
    <row r="5" spans="1:6" x14ac:dyDescent="0.3">
      <c r="A5" t="s">
        <v>1</v>
      </c>
      <c r="B5">
        <v>38</v>
      </c>
      <c r="C5">
        <v>21</v>
      </c>
      <c r="D5">
        <v>21</v>
      </c>
      <c r="E5">
        <v>19</v>
      </c>
    </row>
    <row r="6" spans="1:6" x14ac:dyDescent="0.3">
      <c r="A6" t="s">
        <v>1</v>
      </c>
      <c r="B6">
        <v>45</v>
      </c>
      <c r="C6">
        <v>22</v>
      </c>
      <c r="D6">
        <v>19</v>
      </c>
      <c r="E6">
        <v>21</v>
      </c>
    </row>
    <row r="7" spans="1:6" x14ac:dyDescent="0.3">
      <c r="A7" t="s">
        <v>1</v>
      </c>
      <c r="B7">
        <v>49</v>
      </c>
      <c r="C7">
        <v>24</v>
      </c>
      <c r="D7">
        <v>20</v>
      </c>
      <c r="E7">
        <v>20</v>
      </c>
    </row>
    <row r="8" spans="1:6" x14ac:dyDescent="0.3">
      <c r="A8" t="s">
        <v>1</v>
      </c>
      <c r="B8">
        <v>36</v>
      </c>
      <c r="C8">
        <v>24</v>
      </c>
      <c r="D8">
        <v>20</v>
      </c>
      <c r="E8">
        <v>23</v>
      </c>
    </row>
    <row r="9" spans="1:6" x14ac:dyDescent="0.3">
      <c r="A9" t="s">
        <v>1</v>
      </c>
      <c r="B9">
        <v>60</v>
      </c>
      <c r="C9">
        <v>24</v>
      </c>
      <c r="D9">
        <v>19</v>
      </c>
      <c r="E9">
        <v>22</v>
      </c>
    </row>
    <row r="10" spans="1:6" x14ac:dyDescent="0.3">
      <c r="A10" t="s">
        <v>1</v>
      </c>
      <c r="B10">
        <v>50</v>
      </c>
      <c r="C10">
        <v>23</v>
      </c>
      <c r="D10">
        <v>17</v>
      </c>
      <c r="E10">
        <v>20</v>
      </c>
    </row>
    <row r="11" spans="1:6" x14ac:dyDescent="0.3">
      <c r="A11" t="s">
        <v>1</v>
      </c>
      <c r="B11">
        <v>41</v>
      </c>
      <c r="C11">
        <v>21</v>
      </c>
      <c r="D11">
        <v>23</v>
      </c>
      <c r="E11">
        <v>18</v>
      </c>
    </row>
    <row r="12" spans="1:6" x14ac:dyDescent="0.3">
      <c r="A12" t="s">
        <v>1</v>
      </c>
      <c r="B12">
        <v>84</v>
      </c>
      <c r="C12">
        <v>25</v>
      </c>
      <c r="D12">
        <v>22</v>
      </c>
      <c r="E12">
        <v>24</v>
      </c>
    </row>
    <row r="13" spans="1:6" x14ac:dyDescent="0.3">
      <c r="A13" t="s">
        <v>1</v>
      </c>
      <c r="B13">
        <v>64</v>
      </c>
      <c r="C13">
        <v>22</v>
      </c>
      <c r="D13">
        <v>23</v>
      </c>
      <c r="E13">
        <v>21</v>
      </c>
    </row>
    <row r="14" spans="1:6" x14ac:dyDescent="0.3">
      <c r="A14" t="s">
        <v>1</v>
      </c>
      <c r="B14">
        <v>78</v>
      </c>
      <c r="C14">
        <v>25</v>
      </c>
      <c r="D14">
        <v>23</v>
      </c>
      <c r="E14">
        <v>24</v>
      </c>
    </row>
    <row r="15" spans="1:6" x14ac:dyDescent="0.3">
      <c r="A15" t="s">
        <v>1</v>
      </c>
      <c r="B15">
        <v>57</v>
      </c>
      <c r="C15">
        <v>20</v>
      </c>
      <c r="D15">
        <v>18</v>
      </c>
      <c r="E15">
        <v>19</v>
      </c>
    </row>
    <row r="16" spans="1:6" x14ac:dyDescent="0.3">
      <c r="A16" t="s">
        <v>1</v>
      </c>
      <c r="B16">
        <v>80</v>
      </c>
      <c r="C16">
        <v>22</v>
      </c>
      <c r="D16">
        <v>23</v>
      </c>
      <c r="E16">
        <v>22</v>
      </c>
    </row>
    <row r="17" spans="1:5" x14ac:dyDescent="0.3">
      <c r="A17" t="s">
        <v>1</v>
      </c>
      <c r="B17">
        <v>69</v>
      </c>
      <c r="C17">
        <v>23</v>
      </c>
      <c r="D17">
        <v>20</v>
      </c>
      <c r="E17">
        <v>21</v>
      </c>
    </row>
    <row r="18" spans="1:5" x14ac:dyDescent="0.3">
      <c r="A18" t="s">
        <v>1</v>
      </c>
      <c r="B18">
        <v>89</v>
      </c>
      <c r="C18">
        <v>25</v>
      </c>
      <c r="D18">
        <v>25</v>
      </c>
      <c r="E18">
        <v>25</v>
      </c>
    </row>
    <row r="19" spans="1:5" x14ac:dyDescent="0.3">
      <c r="A19" t="s">
        <v>1</v>
      </c>
      <c r="B19">
        <v>42</v>
      </c>
      <c r="C19">
        <v>24</v>
      </c>
      <c r="D19">
        <v>19</v>
      </c>
      <c r="E19">
        <v>21</v>
      </c>
    </row>
    <row r="20" spans="1:5" x14ac:dyDescent="0.3">
      <c r="A20" t="s">
        <v>1</v>
      </c>
      <c r="B20">
        <v>55</v>
      </c>
      <c r="C20">
        <v>24</v>
      </c>
      <c r="D20">
        <v>18</v>
      </c>
      <c r="E20">
        <v>22</v>
      </c>
    </row>
    <row r="21" spans="1:5" x14ac:dyDescent="0.3">
      <c r="A21" t="s">
        <v>1</v>
      </c>
      <c r="B21">
        <v>32</v>
      </c>
      <c r="C21">
        <v>23</v>
      </c>
      <c r="D21">
        <v>15</v>
      </c>
      <c r="E21">
        <v>17</v>
      </c>
    </row>
    <row r="22" spans="1:5" x14ac:dyDescent="0.3">
      <c r="A22" t="s">
        <v>1</v>
      </c>
      <c r="B22">
        <v>45</v>
      </c>
      <c r="C22">
        <v>19</v>
      </c>
      <c r="D22">
        <v>19</v>
      </c>
      <c r="E22">
        <v>19</v>
      </c>
    </row>
    <row r="23" spans="1:5" x14ac:dyDescent="0.3">
      <c r="A23" t="s">
        <v>1</v>
      </c>
      <c r="B23">
        <v>71</v>
      </c>
      <c r="C23">
        <v>26</v>
      </c>
      <c r="D23">
        <v>23</v>
      </c>
      <c r="E23">
        <v>24</v>
      </c>
    </row>
    <row r="24" spans="1:5" x14ac:dyDescent="0.3">
      <c r="A24" t="s">
        <v>1</v>
      </c>
      <c r="B24">
        <v>50</v>
      </c>
      <c r="C24">
        <v>22</v>
      </c>
      <c r="D24">
        <v>18</v>
      </c>
      <c r="E24">
        <v>21</v>
      </c>
    </row>
    <row r="25" spans="1:5" x14ac:dyDescent="0.3">
      <c r="A25" t="s">
        <v>1</v>
      </c>
      <c r="B25">
        <v>51</v>
      </c>
      <c r="C25">
        <v>22</v>
      </c>
      <c r="D25">
        <v>17</v>
      </c>
      <c r="E25">
        <v>21</v>
      </c>
    </row>
    <row r="26" spans="1:5" x14ac:dyDescent="0.3">
      <c r="A26" t="s">
        <v>1</v>
      </c>
      <c r="B26">
        <v>50</v>
      </c>
      <c r="C26">
        <v>23</v>
      </c>
      <c r="D26">
        <v>21</v>
      </c>
      <c r="E26">
        <v>22</v>
      </c>
    </row>
    <row r="27" spans="1:5" x14ac:dyDescent="0.3">
      <c r="A27" t="s">
        <v>1</v>
      </c>
      <c r="B27">
        <v>66</v>
      </c>
      <c r="C27">
        <v>22</v>
      </c>
      <c r="D27">
        <v>19</v>
      </c>
      <c r="E27">
        <v>20</v>
      </c>
    </row>
    <row r="28" spans="1:5" x14ac:dyDescent="0.3">
      <c r="A28" t="s">
        <v>1</v>
      </c>
      <c r="B28">
        <v>49</v>
      </c>
      <c r="C28">
        <v>21</v>
      </c>
      <c r="D28">
        <v>23</v>
      </c>
      <c r="E28">
        <v>20</v>
      </c>
    </row>
    <row r="29" spans="1:5" x14ac:dyDescent="0.3">
      <c r="A29" t="s">
        <v>1</v>
      </c>
      <c r="B29">
        <v>91</v>
      </c>
      <c r="C29">
        <v>28</v>
      </c>
      <c r="D29">
        <v>26</v>
      </c>
      <c r="E29">
        <v>27</v>
      </c>
    </row>
    <row r="30" spans="1:5" x14ac:dyDescent="0.3">
      <c r="A30" t="s">
        <v>1</v>
      </c>
      <c r="B30">
        <v>66</v>
      </c>
      <c r="C30">
        <v>24</v>
      </c>
      <c r="D30">
        <v>17</v>
      </c>
      <c r="E30">
        <v>24</v>
      </c>
    </row>
    <row r="31" spans="1:5" x14ac:dyDescent="0.3">
      <c r="A31" t="s">
        <v>1</v>
      </c>
      <c r="B31">
        <v>58</v>
      </c>
      <c r="C31">
        <v>25</v>
      </c>
      <c r="D31">
        <v>17</v>
      </c>
      <c r="E31">
        <v>21</v>
      </c>
    </row>
    <row r="32" spans="1:5" x14ac:dyDescent="0.3">
      <c r="A32" t="s">
        <v>1</v>
      </c>
      <c r="B32">
        <v>80</v>
      </c>
      <c r="C32">
        <v>24</v>
      </c>
      <c r="D32">
        <v>21</v>
      </c>
      <c r="E32">
        <v>23</v>
      </c>
    </row>
    <row r="33" spans="1:5" x14ac:dyDescent="0.3">
      <c r="A33" t="s">
        <v>1</v>
      </c>
      <c r="B33">
        <v>58</v>
      </c>
      <c r="C33">
        <v>20</v>
      </c>
      <c r="D33">
        <v>18</v>
      </c>
      <c r="E33">
        <v>22</v>
      </c>
    </row>
    <row r="34" spans="1:5" x14ac:dyDescent="0.3">
      <c r="A34" t="s">
        <v>1</v>
      </c>
      <c r="B34">
        <v>50</v>
      </c>
      <c r="C34">
        <v>23</v>
      </c>
      <c r="D34">
        <v>16</v>
      </c>
      <c r="E34">
        <v>21</v>
      </c>
    </row>
    <row r="35" spans="1:5" x14ac:dyDescent="0.3">
      <c r="A35" t="s">
        <v>1</v>
      </c>
      <c r="B35">
        <v>44</v>
      </c>
      <c r="C35">
        <v>23</v>
      </c>
      <c r="D35">
        <v>17</v>
      </c>
      <c r="E35">
        <v>20</v>
      </c>
    </row>
    <row r="36" spans="1:5" x14ac:dyDescent="0.3">
      <c r="A36" t="s">
        <v>1</v>
      </c>
      <c r="B36">
        <v>53</v>
      </c>
      <c r="C36">
        <v>21</v>
      </c>
      <c r="D36">
        <v>19</v>
      </c>
      <c r="E36">
        <v>21</v>
      </c>
    </row>
    <row r="37" spans="1:5" x14ac:dyDescent="0.3">
      <c r="A37" t="s">
        <v>1</v>
      </c>
      <c r="B37">
        <v>62</v>
      </c>
      <c r="C37">
        <v>20</v>
      </c>
      <c r="D37">
        <v>16</v>
      </c>
      <c r="E37">
        <v>20</v>
      </c>
    </row>
    <row r="38" spans="1:5" x14ac:dyDescent="0.3">
      <c r="A38" t="s">
        <v>1</v>
      </c>
      <c r="B38">
        <v>40</v>
      </c>
      <c r="C38">
        <v>19</v>
      </c>
      <c r="D38">
        <v>19</v>
      </c>
      <c r="E38">
        <v>20</v>
      </c>
    </row>
    <row r="39" spans="1:5" x14ac:dyDescent="0.3">
      <c r="A39" t="s">
        <v>1</v>
      </c>
      <c r="B39">
        <v>45</v>
      </c>
      <c r="C39">
        <v>20</v>
      </c>
      <c r="D39">
        <v>17</v>
      </c>
      <c r="E39">
        <v>19</v>
      </c>
    </row>
    <row r="40" spans="1:5" x14ac:dyDescent="0.3">
      <c r="A40" t="s">
        <v>1</v>
      </c>
      <c r="B40">
        <v>23</v>
      </c>
      <c r="C40">
        <v>21</v>
      </c>
      <c r="D40">
        <v>9</v>
      </c>
      <c r="E40">
        <v>16</v>
      </c>
    </row>
    <row r="41" spans="1:5" x14ac:dyDescent="0.3">
      <c r="A41" t="s">
        <v>1</v>
      </c>
      <c r="B41">
        <v>66</v>
      </c>
      <c r="C41">
        <v>25</v>
      </c>
      <c r="D41">
        <v>24</v>
      </c>
      <c r="E41">
        <v>22</v>
      </c>
    </row>
    <row r="42" spans="1:5" x14ac:dyDescent="0.3">
      <c r="A42" t="s">
        <v>1</v>
      </c>
      <c r="B42">
        <v>52</v>
      </c>
      <c r="C42">
        <v>24</v>
      </c>
      <c r="D42">
        <v>15</v>
      </c>
      <c r="E42">
        <v>20</v>
      </c>
    </row>
    <row r="43" spans="1:5" x14ac:dyDescent="0.3">
      <c r="A43" t="s">
        <v>1</v>
      </c>
      <c r="B43">
        <v>47</v>
      </c>
      <c r="C43">
        <v>21</v>
      </c>
      <c r="D43">
        <v>17</v>
      </c>
      <c r="E43">
        <v>20</v>
      </c>
    </row>
    <row r="44" spans="1:5" x14ac:dyDescent="0.3">
      <c r="A44" t="s">
        <v>1</v>
      </c>
      <c r="B44">
        <v>70</v>
      </c>
      <c r="C44">
        <v>24</v>
      </c>
      <c r="D44">
        <v>26</v>
      </c>
      <c r="E44">
        <v>23</v>
      </c>
    </row>
    <row r="45" spans="1:5" x14ac:dyDescent="0.3">
      <c r="A45" t="s">
        <v>1</v>
      </c>
      <c r="B45">
        <v>56</v>
      </c>
      <c r="C45">
        <v>21</v>
      </c>
      <c r="D45">
        <v>20</v>
      </c>
      <c r="E45">
        <v>21</v>
      </c>
    </row>
    <row r="46" spans="1:5" x14ac:dyDescent="0.3">
      <c r="A46" t="s">
        <v>1</v>
      </c>
      <c r="B46">
        <v>55</v>
      </c>
      <c r="C46">
        <v>24</v>
      </c>
      <c r="D46">
        <v>21</v>
      </c>
      <c r="E46">
        <v>14</v>
      </c>
    </row>
    <row r="47" spans="1:5" x14ac:dyDescent="0.3">
      <c r="A47" t="s">
        <v>1</v>
      </c>
      <c r="B47">
        <v>52</v>
      </c>
      <c r="C47">
        <v>21</v>
      </c>
      <c r="D47">
        <v>18</v>
      </c>
      <c r="E47">
        <v>20</v>
      </c>
    </row>
    <row r="48" spans="1:5" x14ac:dyDescent="0.3">
      <c r="A48" t="s">
        <v>1</v>
      </c>
      <c r="B48">
        <v>49</v>
      </c>
      <c r="C48">
        <v>21</v>
      </c>
      <c r="D48">
        <v>17</v>
      </c>
      <c r="E48">
        <v>19</v>
      </c>
    </row>
    <row r="49" spans="1:5" x14ac:dyDescent="0.3">
      <c r="A49" t="s">
        <v>1</v>
      </c>
      <c r="B49">
        <v>26</v>
      </c>
      <c r="C49">
        <v>24</v>
      </c>
      <c r="D49">
        <v>18</v>
      </c>
      <c r="E49">
        <v>20</v>
      </c>
    </row>
    <row r="50" spans="1:5" x14ac:dyDescent="0.3">
      <c r="A50" t="s">
        <v>1</v>
      </c>
      <c r="B50">
        <v>79</v>
      </c>
      <c r="C50">
        <v>26</v>
      </c>
      <c r="D50">
        <v>25</v>
      </c>
      <c r="E50">
        <v>26</v>
      </c>
    </row>
    <row r="51" spans="1:5" x14ac:dyDescent="0.3">
      <c r="A51" t="s">
        <v>1</v>
      </c>
      <c r="B51">
        <v>40</v>
      </c>
      <c r="C51">
        <v>20</v>
      </c>
      <c r="D51">
        <v>15</v>
      </c>
      <c r="E51">
        <v>18</v>
      </c>
    </row>
    <row r="52" spans="1:5" x14ac:dyDescent="0.3">
      <c r="A52" t="s">
        <v>2</v>
      </c>
      <c r="B52">
        <v>54</v>
      </c>
      <c r="C52">
        <v>23</v>
      </c>
      <c r="D52">
        <v>21</v>
      </c>
      <c r="E52">
        <v>21</v>
      </c>
    </row>
    <row r="53" spans="1:5" x14ac:dyDescent="0.3">
      <c r="A53" t="s">
        <v>2</v>
      </c>
      <c r="B53">
        <v>35</v>
      </c>
      <c r="C53">
        <v>25</v>
      </c>
      <c r="D53">
        <v>20</v>
      </c>
      <c r="E53">
        <v>23</v>
      </c>
    </row>
    <row r="54" spans="1:5" x14ac:dyDescent="0.3">
      <c r="A54" t="s">
        <v>2</v>
      </c>
      <c r="B54">
        <v>29</v>
      </c>
      <c r="C54">
        <v>24</v>
      </c>
      <c r="D54">
        <v>19</v>
      </c>
      <c r="E54">
        <v>19</v>
      </c>
    </row>
    <row r="55" spans="1:5" x14ac:dyDescent="0.3">
      <c r="A55" t="s">
        <v>2</v>
      </c>
      <c r="B55">
        <v>24</v>
      </c>
      <c r="C55">
        <v>21</v>
      </c>
      <c r="D55">
        <v>17</v>
      </c>
      <c r="E55">
        <v>19</v>
      </c>
    </row>
    <row r="56" spans="1:5" x14ac:dyDescent="0.3">
      <c r="A56" t="s">
        <v>2</v>
      </c>
      <c r="B56">
        <v>26</v>
      </c>
      <c r="C56">
        <v>20</v>
      </c>
      <c r="D56">
        <v>16</v>
      </c>
      <c r="E56">
        <v>20</v>
      </c>
    </row>
    <row r="57" spans="1:5" x14ac:dyDescent="0.3">
      <c r="A57" t="s">
        <v>2</v>
      </c>
      <c r="B57">
        <v>31</v>
      </c>
      <c r="C57">
        <v>23</v>
      </c>
      <c r="D57">
        <v>16</v>
      </c>
      <c r="E57">
        <v>20</v>
      </c>
    </row>
    <row r="58" spans="1:5" x14ac:dyDescent="0.3">
      <c r="A58" t="s">
        <v>2</v>
      </c>
      <c r="B58">
        <v>42</v>
      </c>
      <c r="C58">
        <v>24</v>
      </c>
      <c r="D58">
        <v>21</v>
      </c>
      <c r="E58">
        <v>22</v>
      </c>
    </row>
    <row r="59" spans="1:5" x14ac:dyDescent="0.3">
      <c r="A59" t="s">
        <v>2</v>
      </c>
      <c r="B59">
        <v>33</v>
      </c>
      <c r="C59">
        <v>25</v>
      </c>
      <c r="D59">
        <v>19</v>
      </c>
      <c r="E59">
        <v>18</v>
      </c>
    </row>
    <row r="60" spans="1:5" x14ac:dyDescent="0.3">
      <c r="A60" t="s">
        <v>2</v>
      </c>
      <c r="B60">
        <v>25</v>
      </c>
      <c r="C60">
        <v>22</v>
      </c>
      <c r="D60">
        <v>15</v>
      </c>
      <c r="E60">
        <v>19</v>
      </c>
    </row>
    <row r="61" spans="1:5" x14ac:dyDescent="0.3">
      <c r="A61" t="s">
        <v>2</v>
      </c>
      <c r="B61">
        <v>47</v>
      </c>
      <c r="C61">
        <v>25</v>
      </c>
      <c r="D61">
        <v>20</v>
      </c>
      <c r="E61">
        <v>24</v>
      </c>
    </row>
    <row r="62" spans="1:5" x14ac:dyDescent="0.3">
      <c r="A62" t="s">
        <v>2</v>
      </c>
      <c r="B62">
        <v>50</v>
      </c>
      <c r="C62">
        <v>26</v>
      </c>
      <c r="D62">
        <v>28</v>
      </c>
      <c r="E62">
        <v>25</v>
      </c>
    </row>
    <row r="63" spans="1:5" x14ac:dyDescent="0.3">
      <c r="A63" t="s">
        <v>2</v>
      </c>
      <c r="B63">
        <v>59</v>
      </c>
      <c r="C63">
        <v>22</v>
      </c>
      <c r="D63">
        <v>20</v>
      </c>
      <c r="E63">
        <v>22</v>
      </c>
    </row>
    <row r="64" spans="1:5" x14ac:dyDescent="0.3">
      <c r="A64" t="s">
        <v>2</v>
      </c>
      <c r="B64">
        <v>35</v>
      </c>
      <c r="C64">
        <v>24</v>
      </c>
      <c r="D64">
        <v>22</v>
      </c>
      <c r="E64">
        <v>20</v>
      </c>
    </row>
    <row r="65" spans="1:5" x14ac:dyDescent="0.3">
      <c r="A65" t="s">
        <v>2</v>
      </c>
      <c r="B65">
        <v>36</v>
      </c>
      <c r="C65">
        <v>22</v>
      </c>
      <c r="D65">
        <v>17</v>
      </c>
      <c r="E65">
        <v>20</v>
      </c>
    </row>
    <row r="66" spans="1:5" x14ac:dyDescent="0.3">
      <c r="A66" t="s">
        <v>2</v>
      </c>
      <c r="B66">
        <v>43</v>
      </c>
      <c r="C66">
        <v>24</v>
      </c>
      <c r="D66">
        <v>21</v>
      </c>
      <c r="E66">
        <v>22</v>
      </c>
    </row>
    <row r="67" spans="1:5" x14ac:dyDescent="0.3">
      <c r="A67" t="s">
        <v>2</v>
      </c>
      <c r="B67">
        <v>40</v>
      </c>
      <c r="C67">
        <v>21</v>
      </c>
      <c r="D67">
        <v>18</v>
      </c>
      <c r="E67">
        <v>21</v>
      </c>
    </row>
    <row r="68" spans="1:5" x14ac:dyDescent="0.3">
      <c r="A68" t="s">
        <v>2</v>
      </c>
      <c r="B68">
        <v>56</v>
      </c>
      <c r="C68">
        <v>23</v>
      </c>
      <c r="D68">
        <v>20</v>
      </c>
      <c r="E68">
        <v>25</v>
      </c>
    </row>
    <row r="69" spans="1:5" x14ac:dyDescent="0.3">
      <c r="A69" t="s">
        <v>2</v>
      </c>
      <c r="B69">
        <v>34</v>
      </c>
      <c r="C69">
        <v>22</v>
      </c>
      <c r="D69">
        <v>21</v>
      </c>
      <c r="E69">
        <v>20</v>
      </c>
    </row>
    <row r="70" spans="1:5" x14ac:dyDescent="0.3">
      <c r="A70" t="s">
        <v>2</v>
      </c>
      <c r="B70">
        <v>41</v>
      </c>
      <c r="C70">
        <v>22</v>
      </c>
      <c r="D70">
        <v>12</v>
      </c>
      <c r="E70">
        <v>19</v>
      </c>
    </row>
    <row r="71" spans="1:5" x14ac:dyDescent="0.3">
      <c r="A71" t="s">
        <v>2</v>
      </c>
      <c r="B71">
        <v>55</v>
      </c>
      <c r="C71">
        <v>23</v>
      </c>
      <c r="D71">
        <v>24</v>
      </c>
      <c r="E71">
        <v>23</v>
      </c>
    </row>
    <row r="72" spans="1:5" x14ac:dyDescent="0.3">
      <c r="A72" t="s">
        <v>2</v>
      </c>
      <c r="B72">
        <v>42</v>
      </c>
      <c r="C72">
        <v>24</v>
      </c>
      <c r="D72">
        <v>25</v>
      </c>
      <c r="E72">
        <v>19</v>
      </c>
    </row>
    <row r="73" spans="1:5" x14ac:dyDescent="0.3">
      <c r="A73" t="s">
        <v>2</v>
      </c>
      <c r="B73">
        <v>43</v>
      </c>
      <c r="C73">
        <v>22</v>
      </c>
      <c r="D73">
        <v>19</v>
      </c>
      <c r="E73">
        <v>21</v>
      </c>
    </row>
    <row r="74" spans="1:5" x14ac:dyDescent="0.3">
      <c r="A74" t="s">
        <v>2</v>
      </c>
      <c r="B74">
        <v>43</v>
      </c>
      <c r="C74">
        <v>23</v>
      </c>
      <c r="D74">
        <v>18</v>
      </c>
      <c r="E74">
        <v>22</v>
      </c>
    </row>
    <row r="75" spans="1:5" x14ac:dyDescent="0.3">
      <c r="A75" t="s">
        <v>2</v>
      </c>
      <c r="B75">
        <v>64</v>
      </c>
      <c r="C75">
        <v>24</v>
      </c>
      <c r="D75">
        <v>20</v>
      </c>
      <c r="E75">
        <v>21</v>
      </c>
    </row>
    <row r="76" spans="1:5" x14ac:dyDescent="0.3">
      <c r="A76" t="s">
        <v>2</v>
      </c>
      <c r="B76">
        <v>46</v>
      </c>
      <c r="C76">
        <v>23</v>
      </c>
      <c r="D76">
        <v>19</v>
      </c>
      <c r="E76">
        <v>23</v>
      </c>
    </row>
    <row r="77" spans="1:5" x14ac:dyDescent="0.3">
      <c r="A77" t="s">
        <v>2</v>
      </c>
      <c r="B77">
        <v>46</v>
      </c>
      <c r="C77">
        <v>23</v>
      </c>
      <c r="D77">
        <v>18</v>
      </c>
      <c r="E77">
        <v>17</v>
      </c>
    </row>
    <row r="78" spans="1:5" x14ac:dyDescent="0.3">
      <c r="A78" t="s">
        <v>2</v>
      </c>
      <c r="B78">
        <v>81</v>
      </c>
      <c r="C78">
        <v>23</v>
      </c>
      <c r="D78">
        <v>22</v>
      </c>
      <c r="E78">
        <v>21</v>
      </c>
    </row>
    <row r="79" spans="1:5" x14ac:dyDescent="0.3">
      <c r="A79" t="s">
        <v>2</v>
      </c>
      <c r="B79">
        <v>33</v>
      </c>
      <c r="C79">
        <v>21</v>
      </c>
      <c r="D79">
        <v>21</v>
      </c>
      <c r="E79">
        <v>20</v>
      </c>
    </row>
    <row r="80" spans="1:5" x14ac:dyDescent="0.3">
      <c r="A80" t="s">
        <v>2</v>
      </c>
      <c r="B80">
        <v>37</v>
      </c>
      <c r="C80">
        <v>20</v>
      </c>
      <c r="D80">
        <v>21</v>
      </c>
      <c r="E80">
        <v>20</v>
      </c>
    </row>
    <row r="81" spans="1:5" x14ac:dyDescent="0.3">
      <c r="A81" t="s">
        <v>2</v>
      </c>
      <c r="B81">
        <v>39</v>
      </c>
      <c r="C81">
        <v>25</v>
      </c>
      <c r="D81">
        <v>16</v>
      </c>
      <c r="E81">
        <v>20</v>
      </c>
    </row>
    <row r="82" spans="1:5" x14ac:dyDescent="0.3">
      <c r="A82" t="s">
        <v>2</v>
      </c>
      <c r="B82">
        <v>54</v>
      </c>
      <c r="C82">
        <v>24</v>
      </c>
      <c r="D82">
        <v>19</v>
      </c>
      <c r="E82">
        <v>22</v>
      </c>
    </row>
    <row r="83" spans="1:5" x14ac:dyDescent="0.3">
      <c r="A83" t="s">
        <v>2</v>
      </c>
      <c r="B83">
        <v>53</v>
      </c>
      <c r="C83">
        <v>26</v>
      </c>
      <c r="D83">
        <v>18</v>
      </c>
      <c r="E83">
        <v>23</v>
      </c>
    </row>
    <row r="84" spans="1:5" x14ac:dyDescent="0.3">
      <c r="A84" t="s">
        <v>2</v>
      </c>
      <c r="B84">
        <v>41</v>
      </c>
      <c r="C84">
        <v>19</v>
      </c>
      <c r="D84">
        <v>16</v>
      </c>
      <c r="E84">
        <v>17</v>
      </c>
    </row>
    <row r="85" spans="1:5" x14ac:dyDescent="0.3">
      <c r="A85" t="s">
        <v>2</v>
      </c>
      <c r="B85">
        <v>39</v>
      </c>
      <c r="C85">
        <v>22</v>
      </c>
      <c r="D85">
        <v>21</v>
      </c>
      <c r="E85">
        <v>21</v>
      </c>
    </row>
    <row r="86" spans="1:5" x14ac:dyDescent="0.3">
      <c r="A86" t="s">
        <v>2</v>
      </c>
      <c r="B86">
        <v>52</v>
      </c>
      <c r="C86">
        <v>23</v>
      </c>
      <c r="D86">
        <v>22</v>
      </c>
      <c r="E86">
        <v>21</v>
      </c>
    </row>
    <row r="87" spans="1:5" x14ac:dyDescent="0.3">
      <c r="A87" t="s">
        <v>2</v>
      </c>
      <c r="B87">
        <v>52</v>
      </c>
      <c r="C87">
        <v>25</v>
      </c>
      <c r="D87">
        <v>22</v>
      </c>
      <c r="E87">
        <v>25</v>
      </c>
    </row>
    <row r="88" spans="1:5" x14ac:dyDescent="0.3">
      <c r="A88" t="s">
        <v>2</v>
      </c>
      <c r="B88">
        <v>42</v>
      </c>
      <c r="C88">
        <v>24</v>
      </c>
      <c r="D88">
        <v>20</v>
      </c>
      <c r="E88">
        <v>23</v>
      </c>
    </row>
    <row r="89" spans="1:5" x14ac:dyDescent="0.3">
      <c r="A89" t="s">
        <v>2</v>
      </c>
      <c r="B89">
        <v>59</v>
      </c>
      <c r="C89">
        <v>24</v>
      </c>
      <c r="D89">
        <v>20</v>
      </c>
      <c r="E89">
        <v>22</v>
      </c>
    </row>
    <row r="90" spans="1:5" x14ac:dyDescent="0.3">
      <c r="A90" t="s">
        <v>2</v>
      </c>
      <c r="B90">
        <v>39</v>
      </c>
      <c r="C90">
        <v>20</v>
      </c>
      <c r="D90">
        <v>22</v>
      </c>
      <c r="E90">
        <v>19</v>
      </c>
    </row>
    <row r="91" spans="1:5" x14ac:dyDescent="0.3">
      <c r="A91" t="s">
        <v>2</v>
      </c>
      <c r="B91">
        <v>69</v>
      </c>
      <c r="C91">
        <v>24</v>
      </c>
      <c r="D91">
        <v>24</v>
      </c>
      <c r="E91">
        <v>22</v>
      </c>
    </row>
    <row r="92" spans="1:5" x14ac:dyDescent="0.3">
      <c r="A92" t="s">
        <v>2</v>
      </c>
      <c r="B92">
        <v>41</v>
      </c>
      <c r="C92">
        <v>23</v>
      </c>
      <c r="D92">
        <v>21</v>
      </c>
      <c r="E92">
        <v>23</v>
      </c>
    </row>
    <row r="93" spans="1:5" x14ac:dyDescent="0.3">
      <c r="A93" t="s">
        <v>2</v>
      </c>
      <c r="B93">
        <v>51</v>
      </c>
      <c r="C93">
        <v>24</v>
      </c>
      <c r="D93">
        <v>22</v>
      </c>
      <c r="E93">
        <v>21</v>
      </c>
    </row>
    <row r="94" spans="1:5" x14ac:dyDescent="0.3">
      <c r="A94" t="s">
        <v>2</v>
      </c>
      <c r="B94">
        <v>36</v>
      </c>
      <c r="C94">
        <v>24</v>
      </c>
      <c r="D94">
        <v>16</v>
      </c>
      <c r="E94">
        <v>21</v>
      </c>
    </row>
    <row r="95" spans="1:5" x14ac:dyDescent="0.3">
      <c r="A95" t="s">
        <v>2</v>
      </c>
      <c r="B95">
        <v>46</v>
      </c>
      <c r="C95">
        <v>25</v>
      </c>
      <c r="D95">
        <v>20</v>
      </c>
      <c r="E95">
        <v>22</v>
      </c>
    </row>
    <row r="96" spans="1:5" x14ac:dyDescent="0.3">
      <c r="A96" t="s">
        <v>2</v>
      </c>
      <c r="B96">
        <v>44</v>
      </c>
      <c r="C96">
        <v>24</v>
      </c>
      <c r="D96">
        <v>23</v>
      </c>
      <c r="E96">
        <v>23</v>
      </c>
    </row>
    <row r="97" spans="1:5" x14ac:dyDescent="0.3">
      <c r="A97" t="s">
        <v>2</v>
      </c>
      <c r="B97">
        <v>75</v>
      </c>
      <c r="C97">
        <v>27</v>
      </c>
      <c r="D97">
        <v>21</v>
      </c>
      <c r="E97">
        <v>24</v>
      </c>
    </row>
    <row r="98" spans="1:5" x14ac:dyDescent="0.3">
      <c r="A98" t="s">
        <v>2</v>
      </c>
      <c r="B98">
        <v>56</v>
      </c>
      <c r="C98">
        <v>25</v>
      </c>
      <c r="D98">
        <v>19</v>
      </c>
      <c r="E98">
        <v>23</v>
      </c>
    </row>
    <row r="99" spans="1:5" x14ac:dyDescent="0.3">
      <c r="A99" t="s">
        <v>2</v>
      </c>
      <c r="B99">
        <v>36</v>
      </c>
      <c r="C99">
        <v>24</v>
      </c>
      <c r="D99">
        <v>19</v>
      </c>
      <c r="E99">
        <v>21</v>
      </c>
    </row>
    <row r="100" spans="1:5" x14ac:dyDescent="0.3">
      <c r="A100" t="s">
        <v>2</v>
      </c>
      <c r="B100">
        <v>33</v>
      </c>
      <c r="C100">
        <v>21</v>
      </c>
      <c r="D100">
        <v>22</v>
      </c>
      <c r="E100">
        <v>21</v>
      </c>
    </row>
    <row r="101" spans="1:5" x14ac:dyDescent="0.3">
      <c r="A101" t="s">
        <v>2</v>
      </c>
      <c r="B101">
        <v>45</v>
      </c>
      <c r="C101">
        <v>26</v>
      </c>
      <c r="D101">
        <v>21</v>
      </c>
      <c r="E10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6147-8A19-426B-90BF-947A37CD9F72}">
  <dimension ref="A1:A6"/>
  <sheetViews>
    <sheetView zoomScale="130" zoomScaleNormal="130" workbookViewId="0">
      <selection activeCell="A10" sqref="A10"/>
    </sheetView>
  </sheetViews>
  <sheetFormatPr defaultRowHeight="14.4" x14ac:dyDescent="0.3"/>
  <cols>
    <col min="1" max="1" width="113.21875" customWidth="1"/>
  </cols>
  <sheetData>
    <row r="1" spans="1:1" ht="43.2" x14ac:dyDescent="0.3">
      <c r="A1" s="23" t="s">
        <v>68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ht="16.2" x14ac:dyDescent="0.3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MRData</vt:lpstr>
      <vt:lpstr>COMPUTE</vt:lpstr>
      <vt:lpstr>Sheet5</vt:lpstr>
      <vt:lpstr>DATA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Nabanita Talukdar</dc:creator>
  <cp:lastModifiedBy>Nabanita Talukdar</cp:lastModifiedBy>
  <dcterms:created xsi:type="dcterms:W3CDTF">2024-02-27T21:45:15Z</dcterms:created>
  <dcterms:modified xsi:type="dcterms:W3CDTF">2024-02-28T15:08:57Z</dcterms:modified>
</cp:coreProperties>
</file>